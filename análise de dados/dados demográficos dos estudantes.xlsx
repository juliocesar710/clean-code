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lio\Desktop\clean-code\análise de dados\"/>
    </mc:Choice>
  </mc:AlternateContent>
  <xr:revisionPtr revIDLastSave="0" documentId="13_ncr:1_{B878A1C7-17D8-41AE-92B0-F88B87C8C0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aficos" sheetId="1" r:id="rId1"/>
    <sheet name="estatisticas" sheetId="2" r:id="rId2"/>
    <sheet name="base de dados" sheetId="3" r:id="rId3"/>
    <sheet name="dados" sheetId="4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2" i="2" l="1"/>
  <c r="B81" i="2"/>
  <c r="B80" i="2"/>
  <c r="B79" i="2"/>
  <c r="B78" i="2"/>
  <c r="B77" i="2"/>
  <c r="C70" i="2"/>
  <c r="D70" i="2" s="1"/>
  <c r="C69" i="2"/>
  <c r="C68" i="2"/>
  <c r="D68" i="2" s="1"/>
  <c r="B63" i="2"/>
  <c r="B62" i="2"/>
  <c r="B61" i="2"/>
  <c r="B60" i="2"/>
  <c r="C60" i="2" s="1"/>
  <c r="B56" i="2"/>
  <c r="C56" i="2" s="1"/>
  <c r="C55" i="2"/>
  <c r="B55" i="2"/>
  <c r="B51" i="2"/>
  <c r="B50" i="2"/>
  <c r="B49" i="2"/>
  <c r="B48" i="2"/>
  <c r="B47" i="2"/>
  <c r="C47" i="2" s="1"/>
  <c r="B43" i="2"/>
  <c r="C43" i="2" s="1"/>
  <c r="B42" i="2"/>
  <c r="B41" i="2"/>
  <c r="B40" i="2"/>
  <c r="B36" i="2"/>
  <c r="B35" i="2"/>
  <c r="B34" i="2"/>
  <c r="B33" i="2"/>
  <c r="B32" i="2"/>
  <c r="C32" i="2" s="1"/>
  <c r="B28" i="2"/>
  <c r="B27" i="2"/>
  <c r="B26" i="2"/>
  <c r="B25" i="2"/>
  <c r="C35" i="2" l="1"/>
  <c r="C63" i="2"/>
  <c r="C41" i="2"/>
  <c r="C78" i="2"/>
  <c r="C50" i="2"/>
  <c r="C80" i="2"/>
  <c r="C34" i="2"/>
  <c r="C61" i="2"/>
  <c r="C62" i="2"/>
  <c r="C40" i="2"/>
  <c r="C42" i="2"/>
  <c r="C51" i="2"/>
  <c r="C81" i="2"/>
  <c r="C33" i="2"/>
  <c r="C36" i="2"/>
  <c r="D69" i="2"/>
  <c r="C48" i="2"/>
  <c r="C49" i="2"/>
  <c r="C79" i="2"/>
  <c r="C82" i="2"/>
  <c r="C77" i="2"/>
</calcChain>
</file>

<file path=xl/sharedStrings.xml><?xml version="1.0" encoding="utf-8"?>
<sst xmlns="http://schemas.openxmlformats.org/spreadsheetml/2006/main" count="599" uniqueCount="68">
  <si>
    <t>participante</t>
  </si>
  <si>
    <t>idade</t>
  </si>
  <si>
    <t>genero</t>
  </si>
  <si>
    <t>periodo</t>
  </si>
  <si>
    <t>quanto tempo você programa</t>
  </si>
  <si>
    <t>nivel de experiência com python</t>
  </si>
  <si>
    <t>frequência que usa python</t>
  </si>
  <si>
    <t>conhece clean code</t>
  </si>
  <si>
    <t>nivel em Clean Code</t>
  </si>
  <si>
    <t>o que leu sobre Clean Code</t>
  </si>
  <si>
    <t>importância da legibilidade no desenvolvimento</t>
  </si>
  <si>
    <t>feminino</t>
  </si>
  <si>
    <t>2-4 anos</t>
  </si>
  <si>
    <t>basica</t>
  </si>
  <si>
    <t>as vezes</t>
  </si>
  <si>
    <t>sim</t>
  </si>
  <si>
    <t>artigos/blog; já ouvi professores falando em sala de aula</t>
  </si>
  <si>
    <t>muito importante</t>
  </si>
  <si>
    <t>mais de 4 anos</t>
  </si>
  <si>
    <t>raramente</t>
  </si>
  <si>
    <t>artigos/blog; disciplina academica</t>
  </si>
  <si>
    <t>masculino</t>
  </si>
  <si>
    <t>intermediaria</t>
  </si>
  <si>
    <t>artigos/blogs; documentacao/tutorial</t>
  </si>
  <si>
    <t>artigos/blogs; documentacao/tutorial; livro clean code</t>
  </si>
  <si>
    <t>1-2 anos</t>
  </si>
  <si>
    <t>frequentemente</t>
  </si>
  <si>
    <t>artigos/blogs; documentacao/tutorial; disciplina academica</t>
  </si>
  <si>
    <t xml:space="preserve">artigos/blogs; documentacao/tutorial; cursos </t>
  </si>
  <si>
    <t>nunca</t>
  </si>
  <si>
    <t>nao</t>
  </si>
  <si>
    <t>nenhuma</t>
  </si>
  <si>
    <t>importante</t>
  </si>
  <si>
    <t>artigos/blogs</t>
  </si>
  <si>
    <t>documentacao/tutorial</t>
  </si>
  <si>
    <t>disciplina academica</t>
  </si>
  <si>
    <t>YouTube/Instagram</t>
  </si>
  <si>
    <t>avancada</t>
  </si>
  <si>
    <t>livro Clean Code</t>
  </si>
  <si>
    <t>artigos/blogs; documentacao/tutorial; livro Clean Code; disciplina academica</t>
  </si>
  <si>
    <t>TABELA GENERO DOS USUARIOS</t>
  </si>
  <si>
    <t>TABELA PERIODO DOS PARTICIPANTES</t>
  </si>
  <si>
    <t>youtube/instagram</t>
  </si>
  <si>
    <t>percentual</t>
  </si>
  <si>
    <t>TABELA DE IDADE</t>
  </si>
  <si>
    <t>media</t>
  </si>
  <si>
    <t>mediana</t>
  </si>
  <si>
    <t>minima</t>
  </si>
  <si>
    <t>livro clean code</t>
  </si>
  <si>
    <t>maxima</t>
  </si>
  <si>
    <t>TABELA TEMPO DE PROGRAMACAO</t>
  </si>
  <si>
    <t>quantidade de participantes</t>
  </si>
  <si>
    <t>representação em porcentagem</t>
  </si>
  <si>
    <t>menos de 6 meses</t>
  </si>
  <si>
    <t>6 meses - 1 ano</t>
  </si>
  <si>
    <t>artigos/blogs; documentacao/tutorial; livro clean code; disciplina academica</t>
  </si>
  <si>
    <t>TABELA EXPERIENCIA EM PYTHON</t>
  </si>
  <si>
    <t>quantidade de alunos</t>
  </si>
  <si>
    <t>quantidadade em porcentagem</t>
  </si>
  <si>
    <t>TABELA FREQUENCIA QUE USA PYTHON</t>
  </si>
  <si>
    <t>muito frequentemente</t>
  </si>
  <si>
    <t>TABELA CONHECE CLEAN CODE?</t>
  </si>
  <si>
    <t>TABELA NIVEL DE CLEAN CODE</t>
  </si>
  <si>
    <t>TABELA IMPORTANCIA DO CLEAN CODE</t>
  </si>
  <si>
    <t>pouco importante</t>
  </si>
  <si>
    <t>TABELA FONTES CLEAN CODE</t>
  </si>
  <si>
    <t/>
  </si>
  <si>
    <t>COUNT of participante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</si>
</sst>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5" borderId="0" xfId="0" applyFont="1" applyFill="1"/>
    <xf numFmtId="0" fontId="1" fillId="6" borderId="0" xfId="0" applyFont="1" applyFill="1" applyAlignment="1"/>
    <xf numFmtId="0" fontId="1" fillId="6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1" fillId="4" borderId="0" xfId="0" applyFont="1" applyFill="1"/>
    <xf numFmtId="10" fontId="1" fillId="6" borderId="0" xfId="0" applyNumberFormat="1" applyFont="1" applyFill="1"/>
    <xf numFmtId="10" fontId="1" fillId="5" borderId="0" xfId="0" applyNumberFormat="1" applyFont="1" applyFill="1"/>
    <xf numFmtId="0" fontId="1" fillId="3" borderId="0" xfId="0" applyFont="1" applyFill="1" applyAlignment="1"/>
    <xf numFmtId="0" fontId="0" fillId="0" borderId="0" xfId="0" applyFont="1" applyAlignment="1"/>
    <xf numFmtId="0" fontId="1" fillId="4" borderId="0" xfId="0" applyFont="1" applyFill="1" applyAlignment="1"/>
    <xf numFmtId="0" fontId="1" fillId="6" borderId="0" xfId="0" applyFont="1" applyFill="1" applyAlignment="1"/>
    <xf numFmtId="0" fontId="0" fillId="0" borderId="1" xfId="0" applyFont="1" applyBorder="1" applyAlignment="1"/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1" xfId="0" applyNumberFormat="1" applyFont="1" applyBorder="1" applyAlignment="1"/>
    <xf numFmtId="10" fontId="0" fillId="0" borderId="3" xfId="0" applyNumberFormat="1" applyFont="1" applyBorder="1" applyAlignment="1"/>
    <xf numFmtId="0" fontId="0" fillId="0" borderId="4" xfId="0" applyFont="1" applyBorder="1" applyAlignment="1"/>
    <xf numFmtId="0" fontId="0" fillId="0" borderId="4" xfId="0" applyNumberFormat="1" applyFont="1" applyBorder="1" applyAlignment="1"/>
    <xf numFmtId="1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6" xfId="0" applyNumberFormat="1" applyFont="1" applyBorder="1" applyAlignment="1"/>
    <xf numFmtId="10" fontId="0" fillId="0" borderId="7" xfId="0" applyNumberFormat="1" applyFont="1" applyBorder="1" applyAlignment="1"/>
  </cellXfs>
  <cellStyles count="1">
    <cellStyle name="Normal" xfId="0" builtinId="0"/>
  </cellStyles>
  <dxfs count="2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base de dados-style" pivot="0" count="4" xr9:uid="{00000000-0011-0000-FFFF-FFFF00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estatisticas-style" pivot="0" count="4" xr9:uid="{00000000-0011-0000-FFFF-FFFF01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estatisticas-style 2" pivot="0" count="4" xr9:uid="{00000000-0011-0000-FFFF-FFFF02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estatisticas-style 3" pivot="0" count="4" xr9:uid="{00000000-0011-0000-FFFF-FFFF03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estatisticas-style 4" pivot="0" count="4" xr9:uid="{00000000-0011-0000-FFFF-FFFF04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estatisticas-style 5" pivot="0" count="4" xr9:uid="{00000000-0011-0000-FFFF-FFFF0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estatisticas-style 6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xMode val="edge"/>
          <c:yMode val="edge"/>
          <c:x val="7.4285807291666686E-2"/>
          <c:y val="0.12630208333333334"/>
          <c:w val="0.89479752604166685"/>
          <c:h val="0.7751803964510332"/>
        </c:manualLayout>
      </c:layout>
      <c:barChart>
        <c:barDir val="col"/>
        <c:grouping val="clustered"/>
        <c:varyColors val="1"/>
        <c:ser>
          <c:idx val="0"/>
          <c:order val="0"/>
          <c:tx>
            <c:v>quantidade de participantes</c:v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estatisticas!$A$12:$A$18</c:f>
              <c:strCache>
                <c:ptCount val="7"/>
                <c:pt idx="0">
                  <c:v>periodo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strCache>
            </c:strRef>
          </c:cat>
          <c:val>
            <c:numRef>
              <c:f>estatisticas!$B$12:$B$18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FB-4183-A96F-AA208A7DDF3B}"/>
            </c:ext>
          </c:extLst>
        </c:ser>
        <c:ser>
          <c:idx val="1"/>
          <c:order val="1"/>
          <c:tx>
            <c:v>quantidade de participantes em porcentagem</c:v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estatisticas!$A$12:$A$18</c:f>
              <c:strCache>
                <c:ptCount val="7"/>
                <c:pt idx="0">
                  <c:v>periodo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strCache>
            </c:strRef>
          </c:cat>
          <c:val>
            <c:numRef>
              <c:f>estatisticas!$B$12:$B$18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3FB-4183-A96F-AA208A7DDF3B}"/>
            </c:ext>
          </c:extLst>
        </c:ser>
        <c:ser>
          <c:idx val="2"/>
          <c:order val="2"/>
          <c:tx>
            <c:strRef>
              <c:f>estatisticas!$B$10:$B$11</c:f>
              <c:strCache>
                <c:ptCount val="2"/>
                <c:pt idx="0">
                  <c:v>TABELA PERIODO DOS PARTICIPANTES</c:v>
                </c:pt>
              </c:strCache>
            </c:strRef>
          </c:tx>
          <c:invertIfNegative val="1"/>
          <c:cat>
            <c:strRef>
              <c:f>estatisticas!$A$12:$A$18</c:f>
              <c:strCache>
                <c:ptCount val="7"/>
                <c:pt idx="0">
                  <c:v>periodo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strCache>
            </c:strRef>
          </c:cat>
          <c:val>
            <c:numRef>
              <c:f>estatisticas!$B$12:$B$18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FB-4183-A96F-AA208A7DDF3B}"/>
            </c:ext>
          </c:extLst>
        </c:ser>
        <c:ser>
          <c:idx val="3"/>
          <c:order val="3"/>
          <c:tx>
            <c:strRef>
              <c:f>estatisticas!$C$10:$C$11</c:f>
              <c:strCache>
                <c:ptCount val="2"/>
                <c:pt idx="0">
                  <c:v>TABELA PERIODO DOS PARTICIPANTES</c:v>
                </c:pt>
              </c:strCache>
            </c:strRef>
          </c:tx>
          <c:invertIfNegative val="1"/>
          <c:cat>
            <c:strRef>
              <c:f>estatisticas!$A$12:$A$18</c:f>
              <c:strCache>
                <c:ptCount val="7"/>
                <c:pt idx="0">
                  <c:v>periodo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strCache>
            </c:strRef>
          </c:cat>
          <c:val>
            <c:numRef>
              <c:f>estatisticas!$C$12:$C$18</c:f>
              <c:numCache>
                <c:formatCode>0.00%</c:formatCode>
                <c:ptCount val="7"/>
                <c:pt idx="0" formatCode="General">
                  <c:v>0</c:v>
                </c:pt>
                <c:pt idx="1">
                  <c:v>6.4516129032258063E-2</c:v>
                </c:pt>
                <c:pt idx="2">
                  <c:v>9.6774193548387094E-2</c:v>
                </c:pt>
                <c:pt idx="3">
                  <c:v>0.16129032258064516</c:v>
                </c:pt>
                <c:pt idx="4">
                  <c:v>6.4516129032258063E-2</c:v>
                </c:pt>
                <c:pt idx="5">
                  <c:v>0.16129032258064516</c:v>
                </c:pt>
                <c:pt idx="6">
                  <c:v>0.41935483870967744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FB-4183-A96F-AA208A7DD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3222418"/>
        <c:axId val="1089542937"/>
      </c:barChart>
      <c:catAx>
        <c:axId val="1193222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período dos participantes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89542937"/>
        <c:crosses val="autoZero"/>
        <c:auto val="1"/>
        <c:lblAlgn val="ctr"/>
        <c:lblOffset val="100"/>
        <c:noMultiLvlLbl val="1"/>
      </c:catAx>
      <c:valAx>
        <c:axId val="108954293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quantidade de participantes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932224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estatisticas!$B$31</c:f>
              <c:strCache>
                <c:ptCount val="1"/>
                <c:pt idx="0">
                  <c:v>quantidade de participantes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estatisticas!$A$32:$A$36</c:f>
              <c:strCache>
                <c:ptCount val="5"/>
                <c:pt idx="0">
                  <c:v>menos de 6 meses</c:v>
                </c:pt>
                <c:pt idx="1">
                  <c:v>6 meses - 1 ano</c:v>
                </c:pt>
                <c:pt idx="2">
                  <c:v>1-2 anos</c:v>
                </c:pt>
                <c:pt idx="3">
                  <c:v>2-4 anos</c:v>
                </c:pt>
                <c:pt idx="4">
                  <c:v>mais de 4 anos</c:v>
                </c:pt>
              </c:strCache>
            </c:strRef>
          </c:cat>
          <c:val>
            <c:numRef>
              <c:f>estatisticas!$B$32:$B$36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75-4FF0-B27D-EEF6818A9569}"/>
            </c:ext>
          </c:extLst>
        </c:ser>
        <c:ser>
          <c:idx val="1"/>
          <c:order val="1"/>
          <c:tx>
            <c:v>quantidade de participantes em porcentagem</c:v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estatisticas!$A$32:$A$36</c:f>
              <c:strCache>
                <c:ptCount val="5"/>
                <c:pt idx="0">
                  <c:v>menos de 6 meses</c:v>
                </c:pt>
                <c:pt idx="1">
                  <c:v>6 meses - 1 ano</c:v>
                </c:pt>
                <c:pt idx="2">
                  <c:v>1-2 anos</c:v>
                </c:pt>
                <c:pt idx="3">
                  <c:v>2-4 anos</c:v>
                </c:pt>
                <c:pt idx="4">
                  <c:v>mais de 4 anos</c:v>
                </c:pt>
              </c:strCache>
            </c:strRef>
          </c:cat>
          <c:val>
            <c:numRef>
              <c:f>estatisticas!$B$32:$B$36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A75-4FF0-B27D-EEF6818A9569}"/>
            </c:ext>
          </c:extLst>
        </c:ser>
        <c:ser>
          <c:idx val="2"/>
          <c:order val="2"/>
          <c:tx>
            <c:strRef>
              <c:f>estatisticas!$B$31</c:f>
              <c:strCache>
                <c:ptCount val="1"/>
                <c:pt idx="0">
                  <c:v>quantidade de participantes</c:v>
                </c:pt>
              </c:strCache>
            </c:strRef>
          </c:tx>
          <c:invertIfNegative val="1"/>
          <c:cat>
            <c:strRef>
              <c:f>estatisticas!$A$32:$A$36</c:f>
              <c:strCache>
                <c:ptCount val="5"/>
                <c:pt idx="0">
                  <c:v>menos de 6 meses</c:v>
                </c:pt>
                <c:pt idx="1">
                  <c:v>6 meses - 1 ano</c:v>
                </c:pt>
                <c:pt idx="2">
                  <c:v>1-2 anos</c:v>
                </c:pt>
                <c:pt idx="3">
                  <c:v>2-4 anos</c:v>
                </c:pt>
                <c:pt idx="4">
                  <c:v>mais de 4 anos</c:v>
                </c:pt>
              </c:strCache>
            </c:strRef>
          </c:cat>
          <c:val>
            <c:numRef>
              <c:f>estatisticas!$B$32:$B$36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75-4FF0-B27D-EEF6818A9569}"/>
            </c:ext>
          </c:extLst>
        </c:ser>
        <c:ser>
          <c:idx val="3"/>
          <c:order val="3"/>
          <c:tx>
            <c:strRef>
              <c:f>estatisticas!$C$31</c:f>
              <c:strCache>
                <c:ptCount val="1"/>
                <c:pt idx="0">
                  <c:v>representação em porcentagem</c:v>
                </c:pt>
              </c:strCache>
            </c:strRef>
          </c:tx>
          <c:invertIfNegative val="1"/>
          <c:cat>
            <c:strRef>
              <c:f>estatisticas!$A$32:$A$36</c:f>
              <c:strCache>
                <c:ptCount val="5"/>
                <c:pt idx="0">
                  <c:v>menos de 6 meses</c:v>
                </c:pt>
                <c:pt idx="1">
                  <c:v>6 meses - 1 ano</c:v>
                </c:pt>
                <c:pt idx="2">
                  <c:v>1-2 anos</c:v>
                </c:pt>
                <c:pt idx="3">
                  <c:v>2-4 anos</c:v>
                </c:pt>
                <c:pt idx="4">
                  <c:v>mais de 4 anos</c:v>
                </c:pt>
              </c:strCache>
            </c:strRef>
          </c:cat>
          <c:val>
            <c:numRef>
              <c:f>estatisticas!$C$32:$C$36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0.26923076923076922</c:v>
                </c:pt>
                <c:pt idx="4">
                  <c:v>0.73076923076923073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75-4FF0-B27D-EEF6818A9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1055883"/>
        <c:axId val="1701025141"/>
      </c:barChart>
      <c:catAx>
        <c:axId val="691055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tempo de programação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01025141"/>
        <c:crosses val="autoZero"/>
        <c:auto val="1"/>
        <c:lblAlgn val="ctr"/>
        <c:lblOffset val="100"/>
        <c:noMultiLvlLbl val="1"/>
      </c:catAx>
      <c:valAx>
        <c:axId val="170102514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quantidade de participantes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910558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Experiência com Python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9674827938988118E-2"/>
          <c:y val="0.18629807692307693"/>
          <c:w val="0.89937279110863111"/>
          <c:h val="0.7204326923076922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estatisticas!$B$39</c:f>
              <c:strCache>
                <c:ptCount val="1"/>
                <c:pt idx="0">
                  <c:v>quantidade de alunos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estatisticas!$A$40:$A$43</c:f>
              <c:strCache>
                <c:ptCount val="4"/>
                <c:pt idx="0">
                  <c:v>nenhuma</c:v>
                </c:pt>
                <c:pt idx="1">
                  <c:v>basica</c:v>
                </c:pt>
                <c:pt idx="2">
                  <c:v>intermediaria</c:v>
                </c:pt>
                <c:pt idx="3">
                  <c:v>avancada</c:v>
                </c:pt>
              </c:strCache>
            </c:strRef>
          </c:cat>
          <c:val>
            <c:numRef>
              <c:f>estatisticas!$B$40:$B$43</c:f>
              <c:numCache>
                <c:formatCode>General</c:formatCode>
                <c:ptCount val="4"/>
                <c:pt idx="0">
                  <c:v>0</c:v>
                </c:pt>
                <c:pt idx="1">
                  <c:v>20</c:v>
                </c:pt>
                <c:pt idx="2">
                  <c:v>11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3A6-4A55-942C-4BE9545C3979}"/>
            </c:ext>
          </c:extLst>
        </c:ser>
        <c:ser>
          <c:idx val="1"/>
          <c:order val="1"/>
          <c:tx>
            <c:strRef>
              <c:f>estatisticas!$B$39</c:f>
              <c:strCache>
                <c:ptCount val="1"/>
                <c:pt idx="0">
                  <c:v>quantidade de alunos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estatisticas!$A$40:$A$43</c:f>
              <c:strCache>
                <c:ptCount val="4"/>
                <c:pt idx="0">
                  <c:v>nenhuma</c:v>
                </c:pt>
                <c:pt idx="1">
                  <c:v>basica</c:v>
                </c:pt>
                <c:pt idx="2">
                  <c:v>intermediaria</c:v>
                </c:pt>
                <c:pt idx="3">
                  <c:v>avancada</c:v>
                </c:pt>
              </c:strCache>
            </c:strRef>
          </c:cat>
          <c:val>
            <c:numRef>
              <c:f>estatisticas!$B$40:$B$43</c:f>
              <c:numCache>
                <c:formatCode>General</c:formatCode>
                <c:ptCount val="4"/>
                <c:pt idx="0">
                  <c:v>0</c:v>
                </c:pt>
                <c:pt idx="1">
                  <c:v>20</c:v>
                </c:pt>
                <c:pt idx="2">
                  <c:v>11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3A6-4A55-942C-4BE9545C3979}"/>
            </c:ext>
          </c:extLst>
        </c:ser>
        <c:ser>
          <c:idx val="2"/>
          <c:order val="2"/>
          <c:tx>
            <c:strRef>
              <c:f>estatisticas!$B$39</c:f>
              <c:strCache>
                <c:ptCount val="1"/>
                <c:pt idx="0">
                  <c:v>quantidade de alunos</c:v>
                </c:pt>
              </c:strCache>
            </c:strRef>
          </c:tx>
          <c:invertIfNegative val="1"/>
          <c:cat>
            <c:strRef>
              <c:f>estatisticas!$A$40:$A$43</c:f>
              <c:strCache>
                <c:ptCount val="4"/>
                <c:pt idx="0">
                  <c:v>nenhuma</c:v>
                </c:pt>
                <c:pt idx="1">
                  <c:v>basica</c:v>
                </c:pt>
                <c:pt idx="2">
                  <c:v>intermediaria</c:v>
                </c:pt>
                <c:pt idx="3">
                  <c:v>avancada</c:v>
                </c:pt>
              </c:strCache>
            </c:strRef>
          </c:cat>
          <c:val>
            <c:numRef>
              <c:f>estatisticas!$B$40:$B$43</c:f>
              <c:numCache>
                <c:formatCode>General</c:formatCode>
                <c:ptCount val="4"/>
                <c:pt idx="0">
                  <c:v>0</c:v>
                </c:pt>
                <c:pt idx="1">
                  <c:v>20</c:v>
                </c:pt>
                <c:pt idx="2">
                  <c:v>11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A6-4A55-942C-4BE9545C3979}"/>
            </c:ext>
          </c:extLst>
        </c:ser>
        <c:ser>
          <c:idx val="3"/>
          <c:order val="3"/>
          <c:tx>
            <c:strRef>
              <c:f>estatisticas!$C$39</c:f>
              <c:strCache>
                <c:ptCount val="1"/>
                <c:pt idx="0">
                  <c:v>quantidadade em porcentagem</c:v>
                </c:pt>
              </c:strCache>
            </c:strRef>
          </c:tx>
          <c:invertIfNegative val="1"/>
          <c:cat>
            <c:strRef>
              <c:f>estatisticas!$A$40:$A$43</c:f>
              <c:strCache>
                <c:ptCount val="4"/>
                <c:pt idx="0">
                  <c:v>nenhuma</c:v>
                </c:pt>
                <c:pt idx="1">
                  <c:v>basica</c:v>
                </c:pt>
                <c:pt idx="2">
                  <c:v>intermediaria</c:v>
                </c:pt>
                <c:pt idx="3">
                  <c:v>avancada</c:v>
                </c:pt>
              </c:strCache>
            </c:strRef>
          </c:cat>
          <c:val>
            <c:numRef>
              <c:f>estatisticas!$C$40:$C$43</c:f>
              <c:numCache>
                <c:formatCode>0.00%</c:formatCode>
                <c:ptCount val="4"/>
                <c:pt idx="0">
                  <c:v>0</c:v>
                </c:pt>
                <c:pt idx="1">
                  <c:v>0.625</c:v>
                </c:pt>
                <c:pt idx="2">
                  <c:v>0.34375</c:v>
                </c:pt>
                <c:pt idx="3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A6-4A55-942C-4BE9545C3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92453"/>
        <c:axId val="433597847"/>
      </c:barChart>
      <c:catAx>
        <c:axId val="112392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33597847"/>
        <c:crosses val="autoZero"/>
        <c:auto val="1"/>
        <c:lblAlgn val="ctr"/>
        <c:lblOffset val="100"/>
        <c:noMultiLvlLbl val="1"/>
      </c:catAx>
      <c:valAx>
        <c:axId val="43359784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23924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Frequência que usa Python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estatisticas!$B$46</c:f>
              <c:strCache>
                <c:ptCount val="1"/>
                <c:pt idx="0">
                  <c:v>quantidade de alunos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estatisticas!$A$47:$A$51</c:f>
              <c:strCache>
                <c:ptCount val="5"/>
                <c:pt idx="0">
                  <c:v>nunca</c:v>
                </c:pt>
                <c:pt idx="1">
                  <c:v>raramente</c:v>
                </c:pt>
                <c:pt idx="2">
                  <c:v>as vezes</c:v>
                </c:pt>
                <c:pt idx="3">
                  <c:v>frequentemente</c:v>
                </c:pt>
                <c:pt idx="4">
                  <c:v>muito frequentemente</c:v>
                </c:pt>
              </c:strCache>
            </c:strRef>
          </c:cat>
          <c:val>
            <c:numRef>
              <c:f>estatisticas!$B$47:$B$51</c:f>
              <c:numCache>
                <c:formatCode>General</c:formatCode>
                <c:ptCount val="5"/>
                <c:pt idx="0">
                  <c:v>2</c:v>
                </c:pt>
                <c:pt idx="1">
                  <c:v>17</c:v>
                </c:pt>
                <c:pt idx="2">
                  <c:v>9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1A-431C-A00B-AAFC4B463C6A}"/>
            </c:ext>
          </c:extLst>
        </c:ser>
        <c:ser>
          <c:idx val="1"/>
          <c:order val="1"/>
          <c:tx>
            <c:strRef>
              <c:f>estatisticas!$B$46</c:f>
              <c:strCache>
                <c:ptCount val="1"/>
                <c:pt idx="0">
                  <c:v>quantidade de alunos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estatisticas!$A$47:$A$51</c:f>
              <c:strCache>
                <c:ptCount val="5"/>
                <c:pt idx="0">
                  <c:v>nunca</c:v>
                </c:pt>
                <c:pt idx="1">
                  <c:v>raramente</c:v>
                </c:pt>
                <c:pt idx="2">
                  <c:v>as vezes</c:v>
                </c:pt>
                <c:pt idx="3">
                  <c:v>frequentemente</c:v>
                </c:pt>
                <c:pt idx="4">
                  <c:v>muito frequentemente</c:v>
                </c:pt>
              </c:strCache>
            </c:strRef>
          </c:cat>
          <c:val>
            <c:numRef>
              <c:f>estatisticas!$B$47:$B$51</c:f>
              <c:numCache>
                <c:formatCode>General</c:formatCode>
                <c:ptCount val="5"/>
                <c:pt idx="0">
                  <c:v>2</c:v>
                </c:pt>
                <c:pt idx="1">
                  <c:v>17</c:v>
                </c:pt>
                <c:pt idx="2">
                  <c:v>9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61A-431C-A00B-AAFC4B463C6A}"/>
            </c:ext>
          </c:extLst>
        </c:ser>
        <c:ser>
          <c:idx val="2"/>
          <c:order val="2"/>
          <c:tx>
            <c:strRef>
              <c:f>estatisticas!$B$46</c:f>
              <c:strCache>
                <c:ptCount val="1"/>
                <c:pt idx="0">
                  <c:v>quantidade de alunos</c:v>
                </c:pt>
              </c:strCache>
            </c:strRef>
          </c:tx>
          <c:invertIfNegative val="1"/>
          <c:cat>
            <c:strRef>
              <c:f>estatisticas!$A$47:$A$51</c:f>
              <c:strCache>
                <c:ptCount val="5"/>
                <c:pt idx="0">
                  <c:v>nunca</c:v>
                </c:pt>
                <c:pt idx="1">
                  <c:v>raramente</c:v>
                </c:pt>
                <c:pt idx="2">
                  <c:v>as vezes</c:v>
                </c:pt>
                <c:pt idx="3">
                  <c:v>frequentemente</c:v>
                </c:pt>
                <c:pt idx="4">
                  <c:v>muito frequentemente</c:v>
                </c:pt>
              </c:strCache>
            </c:strRef>
          </c:cat>
          <c:val>
            <c:numRef>
              <c:f>estatisticas!$B$47:$B$51</c:f>
              <c:numCache>
                <c:formatCode>General</c:formatCode>
                <c:ptCount val="5"/>
                <c:pt idx="0">
                  <c:v>2</c:v>
                </c:pt>
                <c:pt idx="1">
                  <c:v>17</c:v>
                </c:pt>
                <c:pt idx="2">
                  <c:v>9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A-431C-A00B-AAFC4B463C6A}"/>
            </c:ext>
          </c:extLst>
        </c:ser>
        <c:ser>
          <c:idx val="3"/>
          <c:order val="3"/>
          <c:tx>
            <c:strRef>
              <c:f>estatisticas!$C$46</c:f>
              <c:strCache>
                <c:ptCount val="1"/>
                <c:pt idx="0">
                  <c:v>quantidadade em porcentagem</c:v>
                </c:pt>
              </c:strCache>
            </c:strRef>
          </c:tx>
          <c:invertIfNegative val="1"/>
          <c:cat>
            <c:strRef>
              <c:f>estatisticas!$A$47:$A$51</c:f>
              <c:strCache>
                <c:ptCount val="5"/>
                <c:pt idx="0">
                  <c:v>nunca</c:v>
                </c:pt>
                <c:pt idx="1">
                  <c:v>raramente</c:v>
                </c:pt>
                <c:pt idx="2">
                  <c:v>as vezes</c:v>
                </c:pt>
                <c:pt idx="3">
                  <c:v>frequentemente</c:v>
                </c:pt>
                <c:pt idx="4">
                  <c:v>muito frequentemente</c:v>
                </c:pt>
              </c:strCache>
            </c:strRef>
          </c:cat>
          <c:val>
            <c:numRef>
              <c:f>estatisticas!$C$47:$C$51</c:f>
              <c:numCache>
                <c:formatCode>0.00%</c:formatCode>
                <c:ptCount val="5"/>
                <c:pt idx="0">
                  <c:v>6.25E-2</c:v>
                </c:pt>
                <c:pt idx="1">
                  <c:v>0.53125</c:v>
                </c:pt>
                <c:pt idx="2">
                  <c:v>0.28125</c:v>
                </c:pt>
                <c:pt idx="3">
                  <c:v>0.125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A-431C-A00B-AAFC4B463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3478849"/>
        <c:axId val="699231251"/>
      </c:barChart>
      <c:catAx>
        <c:axId val="1453478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99231251"/>
        <c:crosses val="autoZero"/>
        <c:auto val="1"/>
        <c:lblAlgn val="ctr"/>
        <c:lblOffset val="100"/>
        <c:noMultiLvlLbl val="1"/>
      </c:catAx>
      <c:valAx>
        <c:axId val="69923125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534788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Estudantes que conhecem Clean Code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estatisticas!$B$54</c:f>
              <c:strCache>
                <c:ptCount val="1"/>
                <c:pt idx="0">
                  <c:v>quantidade de alunos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1BE9-40F8-9F2F-9A816F7A95A6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BE9-40F8-9F2F-9A816F7A95A6}"/>
              </c:ext>
            </c:extLst>
          </c:dPt>
          <c:cat>
            <c:strRef>
              <c:f>estatisticas!$A$55:$A$56</c:f>
              <c:strCache>
                <c:ptCount val="2"/>
                <c:pt idx="0">
                  <c:v>sim</c:v>
                </c:pt>
                <c:pt idx="1">
                  <c:v>nao</c:v>
                </c:pt>
              </c:strCache>
            </c:strRef>
          </c:cat>
          <c:val>
            <c:numRef>
              <c:f>estatisticas!$B$55:$B$56</c:f>
              <c:numCache>
                <c:formatCode>General</c:formatCode>
                <c:ptCount val="2"/>
                <c:pt idx="0">
                  <c:v>30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E9-40F8-9F2F-9A816F7A9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Nível de conhecimento em Clean Code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estatisticas!$C$59</c:f>
              <c:strCache>
                <c:ptCount val="1"/>
                <c:pt idx="0">
                  <c:v>quantidadade em porcentagem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B861-4AEC-B689-72C15C2EF5D8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3-B861-4AEC-B689-72C15C2EF5D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5-B861-4AEC-B689-72C15C2EF5D8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B861-4AEC-B689-72C15C2EF5D8}"/>
              </c:ext>
            </c:extLst>
          </c:dPt>
          <c:cat>
            <c:strRef>
              <c:f>estatisticas!$A$60:$A$63</c:f>
              <c:strCache>
                <c:ptCount val="4"/>
                <c:pt idx="0">
                  <c:v>nenhuma</c:v>
                </c:pt>
                <c:pt idx="1">
                  <c:v>basica</c:v>
                </c:pt>
                <c:pt idx="2">
                  <c:v>intermediaria</c:v>
                </c:pt>
                <c:pt idx="3">
                  <c:v>avancada</c:v>
                </c:pt>
              </c:strCache>
            </c:strRef>
          </c:cat>
          <c:val>
            <c:numRef>
              <c:f>estatisticas!$C$60:$C$63</c:f>
              <c:numCache>
                <c:formatCode>0.00%</c:formatCode>
                <c:ptCount val="4"/>
                <c:pt idx="0">
                  <c:v>3.125E-2</c:v>
                </c:pt>
                <c:pt idx="1">
                  <c:v>0.46875</c:v>
                </c:pt>
                <c:pt idx="2">
                  <c:v>0.5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61-4AEC-B689-72C15C2EF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Conteúdos de clean Code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1417549572317232E-2"/>
          <c:y val="0.21685393258426966"/>
          <c:w val="0.89763377235614317"/>
          <c:h val="0.5089417123068525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estatisticas!$B$76</c:f>
              <c:strCache>
                <c:ptCount val="1"/>
                <c:pt idx="0">
                  <c:v>quantidade de alunos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estatisticas!$A$77:$A$82</c:f>
              <c:strCache>
                <c:ptCount val="6"/>
                <c:pt idx="0">
                  <c:v>artigos/blogs</c:v>
                </c:pt>
                <c:pt idx="1">
                  <c:v>documentacao/tutorial</c:v>
                </c:pt>
                <c:pt idx="2">
                  <c:v>livro clean code</c:v>
                </c:pt>
                <c:pt idx="3">
                  <c:v>disciplina academica</c:v>
                </c:pt>
                <c:pt idx="4">
                  <c:v>youtube/instagram</c:v>
                </c:pt>
                <c:pt idx="5">
                  <c:v>nao</c:v>
                </c:pt>
              </c:strCache>
            </c:strRef>
          </c:cat>
          <c:val>
            <c:numRef>
              <c:f>estatisticas!$B$77:$B$82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F79-4D99-A499-BCC6AB4AC175}"/>
            </c:ext>
          </c:extLst>
        </c:ser>
        <c:ser>
          <c:idx val="1"/>
          <c:order val="1"/>
          <c:tx>
            <c:strRef>
              <c:f>estatisticas!$B$76</c:f>
              <c:strCache>
                <c:ptCount val="1"/>
                <c:pt idx="0">
                  <c:v>quantidade de alunos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estatisticas!$A$77:$A$82</c:f>
              <c:strCache>
                <c:ptCount val="6"/>
                <c:pt idx="0">
                  <c:v>artigos/blogs</c:v>
                </c:pt>
                <c:pt idx="1">
                  <c:v>documentacao/tutorial</c:v>
                </c:pt>
                <c:pt idx="2">
                  <c:v>livro clean code</c:v>
                </c:pt>
                <c:pt idx="3">
                  <c:v>disciplina academica</c:v>
                </c:pt>
                <c:pt idx="4">
                  <c:v>youtube/instagram</c:v>
                </c:pt>
                <c:pt idx="5">
                  <c:v>nao</c:v>
                </c:pt>
              </c:strCache>
            </c:strRef>
          </c:cat>
          <c:val>
            <c:numRef>
              <c:f>estatisticas!$B$77:$B$82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F79-4D99-A499-BCC6AB4AC175}"/>
            </c:ext>
          </c:extLst>
        </c:ser>
        <c:ser>
          <c:idx val="2"/>
          <c:order val="2"/>
          <c:tx>
            <c:strRef>
              <c:f>estatisticas!$B$76</c:f>
              <c:strCache>
                <c:ptCount val="1"/>
                <c:pt idx="0">
                  <c:v>quantidade de alunos</c:v>
                </c:pt>
              </c:strCache>
            </c:strRef>
          </c:tx>
          <c:invertIfNegative val="1"/>
          <c:cat>
            <c:strRef>
              <c:f>estatisticas!$A$77:$A$82</c:f>
              <c:strCache>
                <c:ptCount val="6"/>
                <c:pt idx="0">
                  <c:v>artigos/blogs</c:v>
                </c:pt>
                <c:pt idx="1">
                  <c:v>documentacao/tutorial</c:v>
                </c:pt>
                <c:pt idx="2">
                  <c:v>livro clean code</c:v>
                </c:pt>
                <c:pt idx="3">
                  <c:v>disciplina academica</c:v>
                </c:pt>
                <c:pt idx="4">
                  <c:v>youtube/instagram</c:v>
                </c:pt>
                <c:pt idx="5">
                  <c:v>nao</c:v>
                </c:pt>
              </c:strCache>
            </c:strRef>
          </c:cat>
          <c:val>
            <c:numRef>
              <c:f>estatisticas!$B$77:$B$82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79-4D99-A499-BCC6AB4AC175}"/>
            </c:ext>
          </c:extLst>
        </c:ser>
        <c:ser>
          <c:idx val="3"/>
          <c:order val="3"/>
          <c:tx>
            <c:strRef>
              <c:f>estatisticas!$C$76</c:f>
              <c:strCache>
                <c:ptCount val="1"/>
                <c:pt idx="0">
                  <c:v>quantidadade em porcentagem</c:v>
                </c:pt>
              </c:strCache>
            </c:strRef>
          </c:tx>
          <c:invertIfNegative val="1"/>
          <c:cat>
            <c:strRef>
              <c:f>estatisticas!$A$77:$A$82</c:f>
              <c:strCache>
                <c:ptCount val="6"/>
                <c:pt idx="0">
                  <c:v>artigos/blogs</c:v>
                </c:pt>
                <c:pt idx="1">
                  <c:v>documentacao/tutorial</c:v>
                </c:pt>
                <c:pt idx="2">
                  <c:v>livro clean code</c:v>
                </c:pt>
                <c:pt idx="3">
                  <c:v>disciplina academica</c:v>
                </c:pt>
                <c:pt idx="4">
                  <c:v>youtube/instagram</c:v>
                </c:pt>
                <c:pt idx="5">
                  <c:v>nao</c:v>
                </c:pt>
              </c:strCache>
            </c:strRef>
          </c:cat>
          <c:val>
            <c:numRef>
              <c:f>estatisticas!$C$77:$C$82</c:f>
              <c:numCache>
                <c:formatCode>0.00%</c:formatCode>
                <c:ptCount val="6"/>
                <c:pt idx="0">
                  <c:v>0.21739130434782608</c:v>
                </c:pt>
                <c:pt idx="1">
                  <c:v>0.17391304347826086</c:v>
                </c:pt>
                <c:pt idx="2">
                  <c:v>0.13043478260869565</c:v>
                </c:pt>
                <c:pt idx="3">
                  <c:v>0.2608695652173913</c:v>
                </c:pt>
                <c:pt idx="4">
                  <c:v>4.3478260869565216E-2</c:v>
                </c:pt>
                <c:pt idx="5">
                  <c:v>0.17391304347826086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79-4D99-A499-BCC6AB4AC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7210901"/>
        <c:axId val="622586106"/>
      </c:barChart>
      <c:catAx>
        <c:axId val="1977210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22586106"/>
        <c:crosses val="autoZero"/>
        <c:auto val="1"/>
        <c:lblAlgn val="ctr"/>
        <c:lblOffset val="100"/>
        <c:noMultiLvlLbl val="1"/>
      </c:catAx>
      <c:valAx>
        <c:axId val="62258610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772109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0</xdr:row>
      <xdr:rowOff>0</xdr:rowOff>
    </xdr:from>
    <xdr:ext cx="5924550" cy="36576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209550</xdr:colOff>
      <xdr:row>12</xdr:row>
      <xdr:rowOff>228600</xdr:rowOff>
    </xdr:from>
    <xdr:ext cx="5715000" cy="3533775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295275</xdr:colOff>
      <xdr:row>22</xdr:row>
      <xdr:rowOff>114300</xdr:rowOff>
    </xdr:from>
    <xdr:ext cx="6076950" cy="3762375"/>
    <xdr:graphicFrame macro="">
      <xdr:nvGraphicFramePr>
        <xdr:cNvPr id="4" name="Chart 4" title="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228600</xdr:colOff>
      <xdr:row>31</xdr:row>
      <xdr:rowOff>76200</xdr:rowOff>
    </xdr:from>
    <xdr:ext cx="5715000" cy="3533775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295275</xdr:colOff>
      <xdr:row>44</xdr:row>
      <xdr:rowOff>133350</xdr:rowOff>
    </xdr:from>
    <xdr:ext cx="5715000" cy="3533775"/>
    <xdr:graphicFrame macro="">
      <xdr:nvGraphicFramePr>
        <xdr:cNvPr id="6" name="Chart 6" title="Gráfic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0</xdr:col>
      <xdr:colOff>114300</xdr:colOff>
      <xdr:row>64</xdr:row>
      <xdr:rowOff>76200</xdr:rowOff>
    </xdr:from>
    <xdr:ext cx="6257925" cy="3876675"/>
    <xdr:graphicFrame macro="">
      <xdr:nvGraphicFramePr>
        <xdr:cNvPr id="7" name="Chart 7" title="Gráfic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2228850</xdr:colOff>
      <xdr:row>62</xdr:row>
      <xdr:rowOff>247650</xdr:rowOff>
    </xdr:from>
    <xdr:ext cx="6124575" cy="423862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lio candeia" refreshedDate="46247.668958912036" refreshedVersion="7" recordCount="31" xr:uid="{00000000-000A-0000-FFFF-FFFF00000000}">
  <cacheSource type="worksheet">
    <worksheetSource ref="A1:K33" sheet="base de dados"/>
  </cacheSource>
  <cacheFields count="11">
    <cacheField name="participante" numFmtId="0">
      <sharedItems containsSemiMixedTypes="0" containsString="0" containsNumber="1" containsInteger="1" minValue="1" maxValue="31"/>
    </cacheField>
    <cacheField name="idade" numFmtId="0">
      <sharedItems containsSemiMixedTypes="0" containsString="0" containsNumber="1" containsInteger="1" minValue="19" maxValue="43"/>
    </cacheField>
    <cacheField name="genero" numFmtId="0">
      <sharedItems count="2">
        <s v="feminino"/>
        <s v="masculino"/>
      </sharedItems>
    </cacheField>
    <cacheField name="periodo" numFmtId="0">
      <sharedItems containsSemiMixedTypes="0" containsString="0" containsNumber="1" containsInteger="1" minValue="3" maxValue="10" count="7">
        <n v="8"/>
        <n v="9"/>
        <n v="3"/>
        <n v="4"/>
        <n v="6"/>
        <n v="7"/>
        <n v="10"/>
      </sharedItems>
    </cacheField>
    <cacheField name="quanto tempo você programa" numFmtId="0">
      <sharedItems/>
    </cacheField>
    <cacheField name="nivel de experiência com python" numFmtId="0">
      <sharedItems/>
    </cacheField>
    <cacheField name="frequência que usa python" numFmtId="0">
      <sharedItems/>
    </cacheField>
    <cacheField name="conhece clean code" numFmtId="0">
      <sharedItems/>
    </cacheField>
    <cacheField name="nivel em Clean Code" numFmtId="0">
      <sharedItems/>
    </cacheField>
    <cacheField name="o que leu sobre Clean Code" numFmtId="0">
      <sharedItems/>
    </cacheField>
    <cacheField name="importância da legibilidade no desenvolv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1"/>
    <n v="22"/>
    <x v="0"/>
    <x v="0"/>
    <s v="2-4 anos"/>
    <s v="basica"/>
    <s v="as vezes"/>
    <s v="sim"/>
    <s v="basica"/>
    <s v="artigos/blog; disciplina academica"/>
    <s v="muito importante"/>
  </r>
  <r>
    <n v="2"/>
    <n v="25"/>
    <x v="0"/>
    <x v="0"/>
    <s v="mais de 4 anos"/>
    <s v="basica"/>
    <s v="raramente"/>
    <s v="sim"/>
    <s v="basica"/>
    <s v="artigos/blog; disciplina academica"/>
    <s v="muito importante"/>
  </r>
  <r>
    <n v="3"/>
    <n v="22"/>
    <x v="1"/>
    <x v="1"/>
    <s v="2-4 anos"/>
    <s v="basica"/>
    <s v="raramente"/>
    <s v="sim"/>
    <s v="intermediaria"/>
    <s v="artigos/blogs; documentacao/tutorial"/>
    <s v="muito importante"/>
  </r>
  <r>
    <n v="4"/>
    <n v="22"/>
    <x v="1"/>
    <x v="1"/>
    <s v="mais de 4 anos"/>
    <s v="basica"/>
    <s v="raramente"/>
    <s v="sim"/>
    <s v="intermediaria"/>
    <s v="artigos/blogs; documentacao/tutorial; livro clean code"/>
    <s v="muito importante"/>
  </r>
  <r>
    <n v="5"/>
    <n v="20"/>
    <x v="1"/>
    <x v="2"/>
    <s v="1-2 anos"/>
    <s v="intermediaria"/>
    <s v="frequentemente"/>
    <s v="sim"/>
    <s v="intermediaria"/>
    <s v="artigos/blogs; documentacao/tutorial"/>
    <s v="muito importante"/>
  </r>
  <r>
    <n v="6"/>
    <n v="23"/>
    <x v="0"/>
    <x v="0"/>
    <s v="2-4 anos"/>
    <s v="intermediaria"/>
    <s v="raramente"/>
    <s v="sim"/>
    <s v="basica"/>
    <s v="artigos/blogs; documentacao/tutorial; disciplina academica"/>
    <s v="muito importante"/>
  </r>
  <r>
    <n v="7"/>
    <n v="43"/>
    <x v="1"/>
    <x v="1"/>
    <s v="2-4 anos"/>
    <s v="basica"/>
    <s v="raramente"/>
    <s v="sim"/>
    <s v="intermediaria"/>
    <s v="artigos/blogs; documentacao/tutorial; cursos "/>
    <s v="muito importante"/>
  </r>
  <r>
    <n v="8"/>
    <n v="19"/>
    <x v="0"/>
    <x v="3"/>
    <s v="1-2 anos"/>
    <s v="basica"/>
    <s v="nunca"/>
    <s v="nao"/>
    <s v="nenhuma"/>
    <s v="nao"/>
    <s v="importante"/>
  </r>
  <r>
    <n v="9"/>
    <n v="29"/>
    <x v="1"/>
    <x v="1"/>
    <s v="2-4 anos"/>
    <s v="intermediaria"/>
    <s v="as vezes"/>
    <s v="nao"/>
    <s v="basica"/>
    <s v="artigos/blogs"/>
    <s v="muito importante"/>
  </r>
  <r>
    <n v="10"/>
    <n v="23"/>
    <x v="1"/>
    <x v="4"/>
    <s v="2-4 anos"/>
    <s v="basica"/>
    <s v="raramente"/>
    <s v="sim"/>
    <s v="intermediaria"/>
    <s v="documentacao/tutorial"/>
    <s v="muito importante"/>
  </r>
  <r>
    <n v="11"/>
    <n v="32"/>
    <x v="1"/>
    <x v="1"/>
    <s v="2-4 anos"/>
    <s v="basica"/>
    <s v="raramente"/>
    <s v="sim"/>
    <s v="basica"/>
    <s v="disciplina academica"/>
    <s v="muito importante"/>
  </r>
  <r>
    <n v="12"/>
    <n v="22"/>
    <x v="1"/>
    <x v="1"/>
    <s v="2-4 anos"/>
    <s v="intermediaria"/>
    <s v="frequentemente"/>
    <s v="sim"/>
    <s v="intermediaria"/>
    <s v="youtube/instagram"/>
    <s v="muito importante"/>
  </r>
  <r>
    <n v="13"/>
    <n v="22"/>
    <x v="0"/>
    <x v="1"/>
    <s v="2-4 anos"/>
    <s v="avancada"/>
    <s v="frequentemente"/>
    <s v="sim"/>
    <s v="basica"/>
    <s v="artigos/blogs"/>
    <s v="muito importante"/>
  </r>
  <r>
    <n v="14"/>
    <n v="22"/>
    <x v="1"/>
    <x v="1"/>
    <s v="2-4 anos"/>
    <s v="intermediaria"/>
    <s v="raramente"/>
    <s v="sim"/>
    <s v="basica"/>
    <s v="artigos/blogs"/>
    <s v="muito importante"/>
  </r>
  <r>
    <n v="15"/>
    <n v="24"/>
    <x v="1"/>
    <x v="5"/>
    <s v="1-2 anos"/>
    <s v="basica"/>
    <s v="raramente"/>
    <s v="sim"/>
    <s v="basica"/>
    <s v="disciplina academica"/>
    <s v="muito importante"/>
  </r>
  <r>
    <n v="16"/>
    <n v="27"/>
    <x v="1"/>
    <x v="5"/>
    <s v="mais de 4 anos"/>
    <s v="basica"/>
    <s v="raramente"/>
    <s v="sim"/>
    <s v="basica"/>
    <s v="artigos/blogs"/>
    <s v="muito importante"/>
  </r>
  <r>
    <n v="17"/>
    <n v="23"/>
    <x v="1"/>
    <x v="0"/>
    <s v="2-4 anos"/>
    <s v="intermediaria"/>
    <s v="frequentemente"/>
    <s v="sim"/>
    <s v="intermediaria"/>
    <s v="livro clean code"/>
    <s v="muito importante"/>
  </r>
  <r>
    <n v="18"/>
    <n v="22"/>
    <x v="1"/>
    <x v="2"/>
    <s v="1-2 anos"/>
    <s v="basica"/>
    <s v="raramente"/>
    <s v="sim"/>
    <s v="basica"/>
    <s v="livro clean code"/>
    <s v="muito importante"/>
  </r>
  <r>
    <n v="19"/>
    <n v="21"/>
    <x v="1"/>
    <x v="1"/>
    <s v="1-2 anos"/>
    <s v="intermediaria"/>
    <s v="as vezes"/>
    <s v="sim"/>
    <s v="basica"/>
    <s v="nao"/>
    <s v="muito importante"/>
  </r>
  <r>
    <n v="20"/>
    <n v="20"/>
    <x v="0"/>
    <x v="3"/>
    <s v="1-2 anos"/>
    <s v="intermediaria"/>
    <s v="as vezes"/>
    <s v="sim"/>
    <s v="intermediaria"/>
    <s v="nao"/>
    <s v="muito importante"/>
  </r>
  <r>
    <n v="21"/>
    <n v="22"/>
    <x v="0"/>
    <x v="4"/>
    <s v="2-4 anos"/>
    <s v="basica"/>
    <s v="nunca"/>
    <s v="sim"/>
    <s v="basica"/>
    <s v="documentacao/tutorial"/>
    <s v="muito importante"/>
  </r>
  <r>
    <n v="22"/>
    <n v="21"/>
    <x v="1"/>
    <x v="3"/>
    <s v="2-4 anos"/>
    <s v="basica"/>
    <s v="raramente"/>
    <s v="sim"/>
    <s v="basica"/>
    <s v="documentacao/tutorial"/>
    <s v="muito importante"/>
  </r>
  <r>
    <n v="23"/>
    <n v="22"/>
    <x v="1"/>
    <x v="0"/>
    <s v="2-4 anos"/>
    <s v="basica"/>
    <s v="raramente"/>
    <s v="sim"/>
    <s v="basica"/>
    <s v="artigos/blogs"/>
    <s v="muito importante"/>
  </r>
  <r>
    <n v="24"/>
    <n v="22"/>
    <x v="1"/>
    <x v="1"/>
    <s v="mais de 4 anos"/>
    <s v="intermediaria"/>
    <s v="as vezes"/>
    <s v="sim"/>
    <s v="intermediaria"/>
    <s v="artigos/blogs; documentacao/tutorial; livro clean code; disciplina academica"/>
    <s v="muito importante"/>
  </r>
  <r>
    <n v="25"/>
    <n v="24"/>
    <x v="1"/>
    <x v="6"/>
    <s v="mais de 4 anos"/>
    <s v="basica"/>
    <s v="raramente"/>
    <s v="sim"/>
    <s v="intermediaria"/>
    <s v="disciplina academica"/>
    <s v="muito importante"/>
  </r>
  <r>
    <n v="26"/>
    <n v="22"/>
    <x v="1"/>
    <x v="1"/>
    <s v="2-4 anos"/>
    <s v="basica"/>
    <s v="as vezes"/>
    <s v="sim"/>
    <s v="intermediaria"/>
    <s v="disciplina academica"/>
    <s v="muito importante"/>
  </r>
  <r>
    <n v="27"/>
    <n v="21"/>
    <x v="0"/>
    <x v="1"/>
    <s v="2-4 anos"/>
    <s v="basica"/>
    <s v="as vezes"/>
    <s v="sim"/>
    <s v="basica"/>
    <s v="disciplina academica"/>
    <s v="muito importante"/>
  </r>
  <r>
    <n v="28"/>
    <n v="22"/>
    <x v="1"/>
    <x v="1"/>
    <s v="2-4 anos"/>
    <s v="intermediaria"/>
    <s v="raramente"/>
    <s v="sim"/>
    <s v="intermediaria"/>
    <s v="nao"/>
    <s v="muito importante"/>
  </r>
  <r>
    <n v="29"/>
    <n v="23"/>
    <x v="1"/>
    <x v="4"/>
    <s v="2-4 anos"/>
    <s v="basica"/>
    <s v="raramente"/>
    <s v="sim"/>
    <s v="intermediaria"/>
    <s v="disciplina academica"/>
    <s v="muito importante"/>
  </r>
  <r>
    <n v="30"/>
    <n v="30"/>
    <x v="1"/>
    <x v="4"/>
    <s v="2-4 anos"/>
    <s v="basica"/>
    <s v="raramente"/>
    <s v="sim"/>
    <s v="intermediaria"/>
    <s v="livro clean code"/>
    <s v="muito importante"/>
  </r>
  <r>
    <n v="31"/>
    <n v="22"/>
    <x v="1"/>
    <x v="4"/>
    <s v="1-2 anos"/>
    <s v="basica"/>
    <s v="as vezes"/>
    <s v="sim"/>
    <s v="intermediaria"/>
    <s v="artigos/blog; disciplina academica"/>
    <s v="muito importa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estatisticas" cacheId="6" applyNumberFormats="0" applyBorderFormats="0" applyFontFormats="0" applyPatternFormats="0" applyAlignmentFormats="0" applyWidthHeightFormats="0" dataCaption="" updatedVersion="7" rowGrandTotals="0" compact="0" compactData="0">
  <location ref="A3:C6" firstHeaderRow="1" firstDataRow="2" firstDataCol="1"/>
  <pivotFields count="11">
    <pivotField name="participante" dataField="1" compact="0" outline="0" multipleItemSelectionAllowed="1" showAll="0"/>
    <pivotField name="idade" compact="0" outline="0" multipleItemSelectionAllowed="1" showAll="0"/>
    <pivotField name="genero" axis="axisRow" compact="0" outline="0" multipleItemSelectionAllowed="1" showAll="0" sortType="ascending">
      <items count="3">
        <item x="0"/>
        <item x="1"/>
        <item t="default"/>
      </items>
    </pivotField>
    <pivotField name="periodo" compact="0" outline="0" multipleItemSelectionAllowed="1" showAll="0"/>
    <pivotField name="quanto tempo você programa" compact="0" outline="0" multipleItemSelectionAllowed="1" showAll="0"/>
    <pivotField name="nivel de experiência com python" compact="0" outline="0" multipleItemSelectionAllowed="1" showAll="0"/>
    <pivotField name="frequência que usa python" compact="0" outline="0" multipleItemSelectionAllowed="1" showAll="0"/>
    <pivotField name="conhece clean code" compact="0" outline="0" multipleItemSelectionAllowed="1" showAll="0"/>
    <pivotField name="nivel em Clean Code" compact="0" outline="0" multipleItemSelectionAllowed="1" showAll="0"/>
    <pivotField name="o que leu sobre Clean Code" compact="0" outline="0" multipleItemSelectionAllowed="1" showAll="0"/>
    <pivotField name="importância da legibilidade no desenvolvimento" compact="0" outline="0" multipleItemSelectionAllowed="1" showAll="0"/>
  </pivotFields>
  <rowFields count="1">
    <field x="2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participante" fld="0" subtotal="countNums" baseField="0"/>
    <dataField name="COUNT of participante" fld="0" subtotal="countNums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estatisticas 2" cacheId="6" applyNumberFormats="0" applyBorderFormats="0" applyFontFormats="0" applyPatternFormats="0" applyAlignmentFormats="0" applyWidthHeightFormats="0" dataCaption="" updatedVersion="7" rowGrandTotals="0" compact="0" compactData="0">
  <location ref="A11:C19" firstHeaderRow="1" firstDataRow="2" firstDataCol="1"/>
  <pivotFields count="11">
    <pivotField name="participante" dataField="1" compact="0" outline="0" multipleItemSelectionAllowed="1" showAll="0"/>
    <pivotField name="idade" compact="0" outline="0" multipleItemSelectionAllowed="1" showAll="0"/>
    <pivotField name="genero" compact="0" outline="0" multipleItemSelectionAllowed="1" showAll="0"/>
    <pivotField name="periodo" axis="axisRow" compact="0" outline="0" multipleItemSelectionAllowed="1" showAll="0" sortType="ascending">
      <items count="8">
        <item x="2"/>
        <item x="3"/>
        <item x="4"/>
        <item x="5"/>
        <item x="0"/>
        <item x="1"/>
        <item x="6"/>
        <item t="default"/>
      </items>
    </pivotField>
    <pivotField name="quanto tempo você programa" compact="0" outline="0" multipleItemSelectionAllowed="1" showAll="0"/>
    <pivotField name="nivel de experiência com python" compact="0" outline="0" multipleItemSelectionAllowed="1" showAll="0"/>
    <pivotField name="frequência que usa python" compact="0" outline="0" multipleItemSelectionAllowed="1" showAll="0"/>
    <pivotField name="conhece clean code" compact="0" outline="0" multipleItemSelectionAllowed="1" showAll="0"/>
    <pivotField name="nivel em Clean Code" compact="0" outline="0" multipleItemSelectionAllowed="1" showAll="0"/>
    <pivotField name="o que leu sobre Clean Code" compact="0" outline="0" multipleItemSelectionAllowed="1" showAll="0"/>
    <pivotField name="importância da legibilidade no desenvolvimento" compact="0" outline="0" multipleItemSelectionAllowe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COUNT of participante" fld="0" subtotal="countNums" baseField="0"/>
    <dataField name="percentual" fld="0" subtotal="countNums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ebela_tempo_de_programação" displayName="tebela_tempo_de_programação" ref="A31:C36">
  <tableColumns count="3">
    <tableColumn id="1" xr3:uid="{00000000-0010-0000-0000-000001000000}" name="TABELA TEMPO DE PROGRAMACAO"/>
    <tableColumn id="2" xr3:uid="{00000000-0010-0000-0000-000002000000}" name="quantidade de participantes"/>
    <tableColumn id="3" xr3:uid="{00000000-0010-0000-0000-000003000000}" name="representação em porcentagem"/>
  </tableColumns>
  <tableStyleInfo name="estatistic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_2" displayName="Tabela_2" ref="A39:C43">
  <tableColumns count="3">
    <tableColumn id="1" xr3:uid="{00000000-0010-0000-0100-000001000000}" name="TABELA EXPERIENCIA EM PYTHON"/>
    <tableColumn id="2" xr3:uid="{00000000-0010-0000-0100-000002000000}" name="quantidade de alunos"/>
    <tableColumn id="3" xr3:uid="{00000000-0010-0000-0100-000003000000}" name="quantidadade em porcentagem"/>
  </tableColumns>
  <tableStyleInfo name="estatistic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_3" displayName="Tabela_3" ref="A46:C51">
  <tableColumns count="3">
    <tableColumn id="1" xr3:uid="{00000000-0010-0000-0200-000001000000}" name="TABELA FREQUENCIA QUE USA PYTHON"/>
    <tableColumn id="2" xr3:uid="{00000000-0010-0000-0200-000002000000}" name="quantidade de alunos"/>
    <tableColumn id="3" xr3:uid="{00000000-0010-0000-0200-000003000000}" name="quantidadade em porcentagem"/>
  </tableColumns>
  <tableStyleInfo name="estatistic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a_4" displayName="Tabela_4" ref="A54:C56">
  <tableColumns count="3">
    <tableColumn id="1" xr3:uid="{00000000-0010-0000-0300-000001000000}" name="TABELA CONHECE CLEAN CODE?"/>
    <tableColumn id="2" xr3:uid="{00000000-0010-0000-0300-000002000000}" name="quantidade de alunos"/>
    <tableColumn id="3" xr3:uid="{00000000-0010-0000-0300-000003000000}" name="quantidadade em porcentagem"/>
  </tableColumns>
  <tableStyleInfo name="estatistic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ela_5" displayName="Tabela_5" ref="A59:C63">
  <tableColumns count="3">
    <tableColumn id="1" xr3:uid="{00000000-0010-0000-0400-000001000000}" name="TABELA NIVEL DE CLEAN CODE"/>
    <tableColumn id="2" xr3:uid="{00000000-0010-0000-0400-000002000000}" name="quantidade de alunos"/>
    <tableColumn id="3" xr3:uid="{00000000-0010-0000-0400-000003000000}" name="quantidadade em porcentagem"/>
  </tableColumns>
  <tableStyleInfo name="estatistic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ela_6" displayName="Tabela_6" ref="A76:C82">
  <tableColumns count="3">
    <tableColumn id="1" xr3:uid="{00000000-0010-0000-0500-000001000000}" name="TABELA FONTES CLEAN CODE"/>
    <tableColumn id="2" xr3:uid="{00000000-0010-0000-0500-000002000000}" name="quantidade de alunos"/>
    <tableColumn id="3" xr3:uid="{00000000-0010-0000-0500-000003000000}" name="quantidadade em porcentagem"/>
  </tableColumns>
  <tableStyleInfo name="estatistic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ela_1" displayName="Tabela_1" ref="A1:K33">
  <tableColumns count="11">
    <tableColumn id="1" xr3:uid="{00000000-0010-0000-0600-000001000000}" name="participante"/>
    <tableColumn id="2" xr3:uid="{00000000-0010-0000-0600-000002000000}" name="idade"/>
    <tableColumn id="3" xr3:uid="{00000000-0010-0000-0600-000003000000}" name="genero"/>
    <tableColumn id="4" xr3:uid="{00000000-0010-0000-0600-000004000000}" name="periodo"/>
    <tableColumn id="5" xr3:uid="{00000000-0010-0000-0600-000005000000}" name="quanto tempo você programa"/>
    <tableColumn id="6" xr3:uid="{00000000-0010-0000-0600-000006000000}" name="nivel de experiência com python"/>
    <tableColumn id="7" xr3:uid="{00000000-0010-0000-0600-000007000000}" name="frequência que usa python"/>
    <tableColumn id="8" xr3:uid="{00000000-0010-0000-0600-000008000000}" name="conhece clean code"/>
    <tableColumn id="9" xr3:uid="{00000000-0010-0000-0600-000009000000}" name="nivel em Clean Code"/>
    <tableColumn id="10" xr3:uid="{00000000-0010-0000-0600-00000A000000}" name="o que leu sobre Clean Code"/>
    <tableColumn id="11" xr3:uid="{00000000-0010-0000-0600-00000B000000}" name="importância da legibilidade no desenvolvimento"/>
  </tableColumns>
  <tableStyleInfo name="base de d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drawing" Target="../drawings/drawing2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82"/>
  <sheetViews>
    <sheetView showGridLines="0" tabSelected="1" workbookViewId="0"/>
  </sheetViews>
  <sheetFormatPr defaultColWidth="12.6640625" defaultRowHeight="15.75" customHeight="1" x14ac:dyDescent="0.25"/>
  <cols>
    <col min="1" max="1" width="36" customWidth="1"/>
    <col min="2" max="2" width="26.109375" customWidth="1"/>
    <col min="3" max="3" width="32.33203125" customWidth="1"/>
  </cols>
  <sheetData>
    <row r="2" spans="1:3" ht="13.2" x14ac:dyDescent="0.25">
      <c r="A2" s="25" t="s">
        <v>40</v>
      </c>
      <c r="B2" s="26"/>
    </row>
    <row r="3" spans="1:3" ht="13.2" x14ac:dyDescent="0.25">
      <c r="A3" s="29"/>
      <c r="B3" s="30" t="s">
        <v>66</v>
      </c>
      <c r="C3" s="31"/>
    </row>
    <row r="4" spans="1:3" ht="13.2" x14ac:dyDescent="0.25">
      <c r="A4" s="30" t="s">
        <v>2</v>
      </c>
      <c r="B4" s="29" t="s">
        <v>67</v>
      </c>
      <c r="C4" s="32" t="s">
        <v>67</v>
      </c>
    </row>
    <row r="5" spans="1:3" ht="13.2" x14ac:dyDescent="0.25">
      <c r="A5" s="29" t="s">
        <v>11</v>
      </c>
      <c r="B5" s="33">
        <v>8</v>
      </c>
      <c r="C5" s="34">
        <v>0.25806451612903225</v>
      </c>
    </row>
    <row r="6" spans="1:3" ht="15.75" customHeight="1" x14ac:dyDescent="0.25">
      <c r="A6" s="35" t="s">
        <v>21</v>
      </c>
      <c r="B6" s="36">
        <v>23</v>
      </c>
      <c r="C6" s="37">
        <v>0.74193548387096775</v>
      </c>
    </row>
    <row r="10" spans="1:3" ht="13.2" x14ac:dyDescent="0.25">
      <c r="A10" s="25" t="s">
        <v>41</v>
      </c>
      <c r="B10" s="26"/>
      <c r="C10" s="26"/>
    </row>
    <row r="11" spans="1:3" ht="13.2" x14ac:dyDescent="0.25">
      <c r="A11" s="29"/>
      <c r="B11" s="30" t="s">
        <v>66</v>
      </c>
      <c r="C11" s="31"/>
    </row>
    <row r="12" spans="1:3" ht="13.2" x14ac:dyDescent="0.25">
      <c r="A12" s="30" t="s">
        <v>3</v>
      </c>
      <c r="B12" s="29" t="s">
        <v>67</v>
      </c>
      <c r="C12" s="32" t="s">
        <v>43</v>
      </c>
    </row>
    <row r="13" spans="1:3" ht="13.2" x14ac:dyDescent="0.25">
      <c r="A13" s="29">
        <v>3</v>
      </c>
      <c r="B13" s="33">
        <v>2</v>
      </c>
      <c r="C13" s="34">
        <v>6.4516129032258063E-2</v>
      </c>
    </row>
    <row r="14" spans="1:3" ht="13.2" x14ac:dyDescent="0.25">
      <c r="A14" s="38">
        <v>4</v>
      </c>
      <c r="B14" s="39">
        <v>3</v>
      </c>
      <c r="C14" s="40">
        <v>9.6774193548387094E-2</v>
      </c>
    </row>
    <row r="15" spans="1:3" ht="13.2" x14ac:dyDescent="0.25">
      <c r="A15" s="38">
        <v>6</v>
      </c>
      <c r="B15" s="39">
        <v>5</v>
      </c>
      <c r="C15" s="40">
        <v>0.16129032258064516</v>
      </c>
    </row>
    <row r="16" spans="1:3" ht="13.2" x14ac:dyDescent="0.25">
      <c r="A16" s="38">
        <v>7</v>
      </c>
      <c r="B16" s="39">
        <v>2</v>
      </c>
      <c r="C16" s="40">
        <v>6.4516129032258063E-2</v>
      </c>
    </row>
    <row r="17" spans="1:3" ht="13.2" x14ac:dyDescent="0.25">
      <c r="A17" s="38">
        <v>8</v>
      </c>
      <c r="B17" s="39">
        <v>5</v>
      </c>
      <c r="C17" s="40">
        <v>0.16129032258064516</v>
      </c>
    </row>
    <row r="18" spans="1:3" ht="13.2" x14ac:dyDescent="0.25">
      <c r="A18" s="38">
        <v>9</v>
      </c>
      <c r="B18" s="39">
        <v>13</v>
      </c>
      <c r="C18" s="40">
        <v>0.41935483870967744</v>
      </c>
    </row>
    <row r="19" spans="1:3" ht="15.75" customHeight="1" x14ac:dyDescent="0.25">
      <c r="A19" s="35">
        <v>10</v>
      </c>
      <c r="B19" s="36">
        <v>1</v>
      </c>
      <c r="C19" s="37">
        <v>3.2258064516129031E-2</v>
      </c>
    </row>
    <row r="23" spans="1:3" ht="13.2" x14ac:dyDescent="0.25">
      <c r="A23" s="27" t="s">
        <v>44</v>
      </c>
      <c r="B23" s="26"/>
    </row>
    <row r="24" spans="1:3" ht="13.2" x14ac:dyDescent="0.25">
      <c r="A24" s="8"/>
      <c r="B24" s="9"/>
    </row>
    <row r="25" spans="1:3" ht="13.2" x14ac:dyDescent="0.25">
      <c r="A25" s="10" t="s">
        <v>45</v>
      </c>
      <c r="B25" s="11">
        <f>MEDIAN(Tabela_1[idade])</f>
        <v>22</v>
      </c>
    </row>
    <row r="26" spans="1:3" ht="13.2" x14ac:dyDescent="0.25">
      <c r="A26" s="8" t="s">
        <v>46</v>
      </c>
      <c r="B26" s="9">
        <f>MEDIAN(Tabela_1[idade])</f>
        <v>22</v>
      </c>
    </row>
    <row r="27" spans="1:3" ht="13.2" x14ac:dyDescent="0.25">
      <c r="A27" s="10" t="s">
        <v>47</v>
      </c>
      <c r="B27" s="11">
        <f>MIN(Tabela_1[idade])</f>
        <v>19</v>
      </c>
    </row>
    <row r="28" spans="1:3" ht="13.2" x14ac:dyDescent="0.25">
      <c r="A28" s="8" t="s">
        <v>49</v>
      </c>
      <c r="B28" s="9">
        <f>MAX(Tabela_1[idade])</f>
        <v>43</v>
      </c>
    </row>
    <row r="31" spans="1:3" ht="22.5" customHeight="1" x14ac:dyDescent="0.25">
      <c r="A31" s="12" t="s">
        <v>50</v>
      </c>
      <c r="B31" s="12" t="s">
        <v>51</v>
      </c>
      <c r="C31" s="12" t="s">
        <v>52</v>
      </c>
    </row>
    <row r="32" spans="1:3" ht="22.5" customHeight="1" x14ac:dyDescent="0.25">
      <c r="A32" s="13" t="s">
        <v>53</v>
      </c>
      <c r="B32" s="14">
        <f>COUNTIF(Tabela_1[quanto tempo você programa],#REF!)</f>
        <v>0</v>
      </c>
      <c r="C32" s="15">
        <f t="shared" ref="C32:C36" si="0">B32/SUM($B$32:$B$36)</f>
        <v>0</v>
      </c>
    </row>
    <row r="33" spans="1:3" ht="22.5" customHeight="1" x14ac:dyDescent="0.25">
      <c r="A33" s="13" t="s">
        <v>54</v>
      </c>
      <c r="B33" s="14">
        <f>COUNTIF(Tabela_1[quanto tempo você programa],A32)</f>
        <v>0</v>
      </c>
      <c r="C33" s="15">
        <f t="shared" si="0"/>
        <v>0</v>
      </c>
    </row>
    <row r="34" spans="1:3" ht="22.5" customHeight="1" x14ac:dyDescent="0.25">
      <c r="A34" s="13" t="s">
        <v>25</v>
      </c>
      <c r="B34" s="14">
        <f>COUNTIF(Tabela_1[quanto tempo você programa],A33)</f>
        <v>0</v>
      </c>
      <c r="C34" s="15">
        <f t="shared" si="0"/>
        <v>0</v>
      </c>
    </row>
    <row r="35" spans="1:3" ht="22.5" customHeight="1" x14ac:dyDescent="0.25">
      <c r="A35" s="13" t="s">
        <v>12</v>
      </c>
      <c r="B35" s="14">
        <f>COUNTIF(Tabela_1[quanto tempo você programa],A34)</f>
        <v>7</v>
      </c>
      <c r="C35" s="15">
        <f t="shared" si="0"/>
        <v>0.26923076923076922</v>
      </c>
    </row>
    <row r="36" spans="1:3" ht="22.5" customHeight="1" x14ac:dyDescent="0.25">
      <c r="A36" s="13" t="s">
        <v>18</v>
      </c>
      <c r="B36" s="14">
        <f>COUNTIF(Tabela_1[quanto tempo você programa],A35)</f>
        <v>19</v>
      </c>
      <c r="C36" s="15">
        <f t="shared" si="0"/>
        <v>0.73076923076923073</v>
      </c>
    </row>
    <row r="39" spans="1:3" ht="22.5" customHeight="1" x14ac:dyDescent="0.25">
      <c r="A39" s="12" t="s">
        <v>56</v>
      </c>
      <c r="B39" s="12" t="s">
        <v>57</v>
      </c>
      <c r="C39" s="16" t="s">
        <v>58</v>
      </c>
    </row>
    <row r="40" spans="1:3" ht="22.5" customHeight="1" x14ac:dyDescent="0.25">
      <c r="A40" s="13" t="s">
        <v>31</v>
      </c>
      <c r="B40" s="14">
        <f>COUNTIF(Tabela_1[nivel de experiência com python],A40)</f>
        <v>0</v>
      </c>
      <c r="C40" s="15">
        <f t="shared" ref="C40:C43" si="1">B40/SUM($B$40:$B$43)</f>
        <v>0</v>
      </c>
    </row>
    <row r="41" spans="1:3" ht="22.5" customHeight="1" x14ac:dyDescent="0.25">
      <c r="A41" s="13" t="s">
        <v>13</v>
      </c>
      <c r="B41" s="14">
        <f>COUNTIF(Tabela_1[nivel de experiência com python],A41)</f>
        <v>20</v>
      </c>
      <c r="C41" s="15">
        <f t="shared" si="1"/>
        <v>0.625</v>
      </c>
    </row>
    <row r="42" spans="1:3" ht="22.5" customHeight="1" x14ac:dyDescent="0.25">
      <c r="A42" s="13" t="s">
        <v>22</v>
      </c>
      <c r="B42" s="14">
        <f>COUNTIF(Tabela_1[nivel de experiência com python],A42)</f>
        <v>11</v>
      </c>
      <c r="C42" s="15">
        <f t="shared" si="1"/>
        <v>0.34375</v>
      </c>
    </row>
    <row r="43" spans="1:3" ht="22.5" customHeight="1" x14ac:dyDescent="0.25">
      <c r="A43" s="13" t="s">
        <v>37</v>
      </c>
      <c r="B43" s="14">
        <f>COUNTIF(Tabela_1[nivel de experiência com python],A43)</f>
        <v>1</v>
      </c>
      <c r="C43" s="15">
        <f t="shared" si="1"/>
        <v>3.125E-2</v>
      </c>
    </row>
    <row r="46" spans="1:3" ht="22.5" customHeight="1" x14ac:dyDescent="0.25">
      <c r="A46" s="12" t="s">
        <v>59</v>
      </c>
      <c r="B46" s="12" t="s">
        <v>57</v>
      </c>
      <c r="C46" s="16" t="s">
        <v>58</v>
      </c>
    </row>
    <row r="47" spans="1:3" ht="22.5" customHeight="1" x14ac:dyDescent="0.25">
      <c r="A47" s="13" t="s">
        <v>29</v>
      </c>
      <c r="B47" s="14">
        <f>COUNTIF(Tabela_1[frequência que usa python],A47)</f>
        <v>2</v>
      </c>
      <c r="C47" s="15">
        <f t="shared" ref="C47:C51" si="2">B47/SUM($B$47:$B$51)</f>
        <v>6.25E-2</v>
      </c>
    </row>
    <row r="48" spans="1:3" ht="22.5" customHeight="1" x14ac:dyDescent="0.25">
      <c r="A48" s="13" t="s">
        <v>19</v>
      </c>
      <c r="B48" s="14">
        <f>COUNTIF(Tabela_1[frequência que usa python],A48)</f>
        <v>17</v>
      </c>
      <c r="C48" s="15">
        <f t="shared" si="2"/>
        <v>0.53125</v>
      </c>
    </row>
    <row r="49" spans="1:3" ht="22.5" customHeight="1" x14ac:dyDescent="0.25">
      <c r="A49" s="13" t="s">
        <v>14</v>
      </c>
      <c r="B49" s="14">
        <f>COUNTIF(Tabela_1[frequência que usa python],A49)</f>
        <v>9</v>
      </c>
      <c r="C49" s="15">
        <f t="shared" si="2"/>
        <v>0.28125</v>
      </c>
    </row>
    <row r="50" spans="1:3" ht="22.5" customHeight="1" x14ac:dyDescent="0.25">
      <c r="A50" s="13" t="s">
        <v>26</v>
      </c>
      <c r="B50" s="14">
        <f>COUNTIF(Tabela_1[frequência que usa python],A50)</f>
        <v>4</v>
      </c>
      <c r="C50" s="15">
        <f t="shared" si="2"/>
        <v>0.125</v>
      </c>
    </row>
    <row r="51" spans="1:3" ht="22.5" customHeight="1" x14ac:dyDescent="0.25">
      <c r="A51" s="13" t="s">
        <v>60</v>
      </c>
      <c r="B51" s="14">
        <f>COUNTIF(Tabela_1[frequência que usa python],A51)</f>
        <v>0</v>
      </c>
      <c r="C51" s="15">
        <f t="shared" si="2"/>
        <v>0</v>
      </c>
    </row>
    <row r="54" spans="1:3" ht="22.5" customHeight="1" x14ac:dyDescent="0.25">
      <c r="A54" s="12" t="s">
        <v>61</v>
      </c>
      <c r="B54" s="12" t="s">
        <v>57</v>
      </c>
      <c r="C54" s="16" t="s">
        <v>58</v>
      </c>
    </row>
    <row r="55" spans="1:3" ht="22.5" customHeight="1" x14ac:dyDescent="0.25">
      <c r="A55" s="13" t="s">
        <v>15</v>
      </c>
      <c r="B55" s="14">
        <f>COUNTIF(Tabela_1[conhece clean code],A55)</f>
        <v>30</v>
      </c>
      <c r="C55" s="15">
        <f t="shared" ref="C55:C56" si="3">B55/SUM($B$55:$B$56)</f>
        <v>0.9375</v>
      </c>
    </row>
    <row r="56" spans="1:3" ht="22.5" customHeight="1" x14ac:dyDescent="0.25">
      <c r="A56" s="13" t="s">
        <v>30</v>
      </c>
      <c r="B56" s="14">
        <f>COUNTIF(Tabela_1[conhece clean code],A56)</f>
        <v>2</v>
      </c>
      <c r="C56" s="15">
        <f t="shared" si="3"/>
        <v>6.25E-2</v>
      </c>
    </row>
    <row r="59" spans="1:3" ht="22.5" customHeight="1" x14ac:dyDescent="0.25">
      <c r="A59" s="17" t="s">
        <v>62</v>
      </c>
      <c r="B59" s="17" t="s">
        <v>57</v>
      </c>
      <c r="C59" s="18" t="s">
        <v>58</v>
      </c>
    </row>
    <row r="60" spans="1:3" ht="22.5" customHeight="1" x14ac:dyDescent="0.25">
      <c r="A60" s="19" t="s">
        <v>31</v>
      </c>
      <c r="B60" s="20">
        <f>COUNTIF(Tabela_1[nivel em Clean Code],A60)</f>
        <v>1</v>
      </c>
      <c r="C60" s="21">
        <f t="shared" ref="C60:C63" si="4">B60/SUM($B$60:$B$63)</f>
        <v>3.125E-2</v>
      </c>
    </row>
    <row r="61" spans="1:3" ht="22.5" customHeight="1" x14ac:dyDescent="0.25">
      <c r="A61" s="19" t="s">
        <v>13</v>
      </c>
      <c r="B61" s="20">
        <f>COUNTIF(Tabela_1[nivel em Clean Code],A61)</f>
        <v>15</v>
      </c>
      <c r="C61" s="21">
        <f t="shared" si="4"/>
        <v>0.46875</v>
      </c>
    </row>
    <row r="62" spans="1:3" ht="22.5" customHeight="1" x14ac:dyDescent="0.25">
      <c r="A62" s="19" t="s">
        <v>22</v>
      </c>
      <c r="B62" s="20">
        <f>COUNTIF(Tabela_1[nivel em Clean Code],A62)</f>
        <v>16</v>
      </c>
      <c r="C62" s="21">
        <f t="shared" si="4"/>
        <v>0.5</v>
      </c>
    </row>
    <row r="63" spans="1:3" ht="22.5" customHeight="1" x14ac:dyDescent="0.25">
      <c r="A63" s="19" t="s">
        <v>37</v>
      </c>
      <c r="B63" s="20">
        <f>COUNTIF(Tabela_1[nivel em Clean Code],A63)</f>
        <v>0</v>
      </c>
      <c r="C63" s="21">
        <f t="shared" si="4"/>
        <v>0</v>
      </c>
    </row>
    <row r="66" spans="1:4" ht="13.2" x14ac:dyDescent="0.25">
      <c r="A66" s="7" t="s">
        <v>63</v>
      </c>
      <c r="B66" s="22"/>
      <c r="C66" s="22"/>
      <c r="D66" s="22"/>
    </row>
    <row r="67" spans="1:4" ht="13.2" x14ac:dyDescent="0.25">
      <c r="A67" s="9"/>
      <c r="B67" s="9"/>
      <c r="C67" s="9"/>
      <c r="D67" s="9"/>
    </row>
    <row r="68" spans="1:4" ht="13.2" x14ac:dyDescent="0.25">
      <c r="A68" s="28" t="s">
        <v>64</v>
      </c>
      <c r="B68" s="26"/>
      <c r="C68" s="11">
        <f>COUNTIF(Tabela_1[importância da legibilidade no desenvolvimento],A68)</f>
        <v>0</v>
      </c>
      <c r="D68" s="23">
        <f t="shared" ref="D68:D70" si="5">C68/SUM($C$68:$C$70)</f>
        <v>0</v>
      </c>
    </row>
    <row r="69" spans="1:4" ht="13.2" x14ac:dyDescent="0.25">
      <c r="A69" s="8" t="s">
        <v>32</v>
      </c>
      <c r="B69" s="9"/>
      <c r="C69" s="9">
        <f>COUNTIF(Tabela_1[importância da legibilidade no desenvolvimento],A69)</f>
        <v>1</v>
      </c>
      <c r="D69" s="24">
        <f t="shared" si="5"/>
        <v>3.125E-2</v>
      </c>
    </row>
    <row r="70" spans="1:4" ht="13.2" x14ac:dyDescent="0.25">
      <c r="A70" s="10" t="s">
        <v>17</v>
      </c>
      <c r="B70" s="11"/>
      <c r="C70" s="11">
        <f>COUNTIF(Tabela_1[importância da legibilidade no desenvolvimento],A70)</f>
        <v>31</v>
      </c>
      <c r="D70" s="23">
        <f t="shared" si="5"/>
        <v>0.96875</v>
      </c>
    </row>
    <row r="76" spans="1:4" ht="22.5" customHeight="1" x14ac:dyDescent="0.25">
      <c r="A76" s="12" t="s">
        <v>65</v>
      </c>
      <c r="B76" s="16" t="s">
        <v>57</v>
      </c>
      <c r="C76" s="16" t="s">
        <v>58</v>
      </c>
    </row>
    <row r="77" spans="1:4" ht="22.5" customHeight="1" x14ac:dyDescent="0.25">
      <c r="A77" s="13" t="s">
        <v>33</v>
      </c>
      <c r="B77" s="14">
        <f>COUNTIF(Tabela_1[o que leu sobre Clean Code],A77)</f>
        <v>5</v>
      </c>
      <c r="C77" s="15">
        <f t="shared" ref="C77:C82" si="6">B77/SUM($B$77:$B$82)</f>
        <v>0.21739130434782608</v>
      </c>
    </row>
    <row r="78" spans="1:4" ht="22.5" customHeight="1" x14ac:dyDescent="0.25">
      <c r="A78" s="13" t="s">
        <v>34</v>
      </c>
      <c r="B78" s="14">
        <f>COUNTIF(Tabela_1[o que leu sobre Clean Code],A78)</f>
        <v>4</v>
      </c>
      <c r="C78" s="15">
        <f t="shared" si="6"/>
        <v>0.17391304347826086</v>
      </c>
    </row>
    <row r="79" spans="1:4" ht="22.5" customHeight="1" x14ac:dyDescent="0.25">
      <c r="A79" s="13" t="s">
        <v>48</v>
      </c>
      <c r="B79" s="14">
        <f>COUNTIF(Tabela_1[o que leu sobre Clean Code],A79)</f>
        <v>3</v>
      </c>
      <c r="C79" s="15">
        <f t="shared" si="6"/>
        <v>0.13043478260869565</v>
      </c>
    </row>
    <row r="80" spans="1:4" ht="22.5" customHeight="1" x14ac:dyDescent="0.25">
      <c r="A80" s="13" t="s">
        <v>35</v>
      </c>
      <c r="B80" s="14">
        <f>COUNTIF(Tabela_1[o que leu sobre Clean Code],A80)</f>
        <v>6</v>
      </c>
      <c r="C80" s="15">
        <f t="shared" si="6"/>
        <v>0.2608695652173913</v>
      </c>
    </row>
    <row r="81" spans="1:3" ht="22.5" customHeight="1" x14ac:dyDescent="0.25">
      <c r="A81" s="13" t="s">
        <v>42</v>
      </c>
      <c r="B81" s="14">
        <f>COUNTIF(Tabela_1[o que leu sobre Clean Code],A81)</f>
        <v>1</v>
      </c>
      <c r="C81" s="15">
        <f t="shared" si="6"/>
        <v>4.3478260869565216E-2</v>
      </c>
    </row>
    <row r="82" spans="1:3" ht="22.5" customHeight="1" x14ac:dyDescent="0.25">
      <c r="A82" s="13" t="s">
        <v>30</v>
      </c>
      <c r="B82" s="14">
        <f>COUNTIF(Tabela_1[o que leu sobre Clean Code],A82)</f>
        <v>4</v>
      </c>
      <c r="C82" s="15">
        <f t="shared" si="6"/>
        <v>0.17391304347826086</v>
      </c>
    </row>
  </sheetData>
  <mergeCells count="4">
    <mergeCell ref="A2:B2"/>
    <mergeCell ref="A10:C10"/>
    <mergeCell ref="A23:B23"/>
    <mergeCell ref="A68:B68"/>
  </mergeCells>
  <dataValidations count="1">
    <dataValidation type="custom" allowBlank="1" showDropDown="1" sqref="C32:C36 C40:C43 C47:C51 C55:C56 C60:C63 C77:C82" xr:uid="{00000000-0002-0000-0100-000000000000}">
      <formula1>AND(ISNUMBER(C32),(NOT(OR(NOT(ISERROR(DATEVALUE(C32))), AND(ISNUMBER(C32), LEFT(CELL("format", C32))="D")))))</formula1>
    </dataValidation>
  </dataValidations>
  <pageMargins left="0.511811024" right="0.511811024" top="0.78740157499999996" bottom="0.78740157499999996" header="0.31496062000000002" footer="0.31496062000000002"/>
  <drawing r:id="rId3"/>
  <tableParts count="6"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33"/>
  <sheetViews>
    <sheetView workbookViewId="0">
      <pane ySplit="1" topLeftCell="A28" activePane="bottomLeft" state="frozen"/>
      <selection pane="bottomLeft" activeCell="A33" sqref="A33:K33"/>
    </sheetView>
  </sheetViews>
  <sheetFormatPr defaultColWidth="12.6640625" defaultRowHeight="15.75" customHeight="1" x14ac:dyDescent="0.25"/>
  <cols>
    <col min="1" max="1" width="14.109375" customWidth="1"/>
    <col min="5" max="5" width="27.21875" customWidth="1"/>
    <col min="6" max="6" width="29.21875" customWidth="1"/>
    <col min="7" max="7" width="25.109375" customWidth="1"/>
    <col min="8" max="8" width="20.33203125" customWidth="1"/>
    <col min="9" max="9" width="21" customWidth="1"/>
    <col min="10" max="11" width="37.6640625" customWidth="1"/>
  </cols>
  <sheetData>
    <row r="1" spans="1:11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2.5" customHeight="1" x14ac:dyDescent="0.25">
      <c r="A2" s="4">
        <v>1</v>
      </c>
      <c r="B2" s="4">
        <v>22</v>
      </c>
      <c r="C2" s="5" t="s">
        <v>11</v>
      </c>
      <c r="D2" s="4">
        <v>8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13</v>
      </c>
      <c r="J2" s="5" t="s">
        <v>20</v>
      </c>
      <c r="K2" s="5" t="s">
        <v>17</v>
      </c>
    </row>
    <row r="3" spans="1:11" ht="22.5" customHeight="1" x14ac:dyDescent="0.25">
      <c r="A3" s="4">
        <v>2</v>
      </c>
      <c r="B3" s="4">
        <v>25</v>
      </c>
      <c r="C3" s="5" t="s">
        <v>11</v>
      </c>
      <c r="D3" s="4">
        <v>8</v>
      </c>
      <c r="E3" s="5" t="s">
        <v>18</v>
      </c>
      <c r="F3" s="5" t="s">
        <v>13</v>
      </c>
      <c r="G3" s="5" t="s">
        <v>19</v>
      </c>
      <c r="H3" s="5" t="s">
        <v>15</v>
      </c>
      <c r="I3" s="5" t="s">
        <v>13</v>
      </c>
      <c r="J3" s="5" t="s">
        <v>20</v>
      </c>
      <c r="K3" s="5" t="s">
        <v>17</v>
      </c>
    </row>
    <row r="4" spans="1:11" ht="22.5" customHeight="1" x14ac:dyDescent="0.25">
      <c r="A4" s="4">
        <v>3</v>
      </c>
      <c r="B4" s="4">
        <v>22</v>
      </c>
      <c r="C4" s="5" t="s">
        <v>21</v>
      </c>
      <c r="D4" s="4">
        <v>9</v>
      </c>
      <c r="E4" s="5" t="s">
        <v>12</v>
      </c>
      <c r="F4" s="5" t="s">
        <v>13</v>
      </c>
      <c r="G4" s="5" t="s">
        <v>19</v>
      </c>
      <c r="H4" s="5" t="s">
        <v>15</v>
      </c>
      <c r="I4" s="5" t="s">
        <v>22</v>
      </c>
      <c r="J4" s="5" t="s">
        <v>23</v>
      </c>
      <c r="K4" s="5" t="s">
        <v>17</v>
      </c>
    </row>
    <row r="5" spans="1:11" ht="22.5" customHeight="1" x14ac:dyDescent="0.25">
      <c r="A5" s="4">
        <v>4</v>
      </c>
      <c r="B5" s="4">
        <v>22</v>
      </c>
      <c r="C5" s="5" t="s">
        <v>21</v>
      </c>
      <c r="D5" s="4">
        <v>9</v>
      </c>
      <c r="E5" s="5" t="s">
        <v>18</v>
      </c>
      <c r="F5" s="5" t="s">
        <v>13</v>
      </c>
      <c r="G5" s="5" t="s">
        <v>19</v>
      </c>
      <c r="H5" s="5" t="s">
        <v>15</v>
      </c>
      <c r="I5" s="5" t="s">
        <v>22</v>
      </c>
      <c r="J5" s="5" t="s">
        <v>24</v>
      </c>
      <c r="K5" s="5" t="s">
        <v>17</v>
      </c>
    </row>
    <row r="6" spans="1:11" ht="22.5" customHeight="1" x14ac:dyDescent="0.25">
      <c r="A6" s="4">
        <v>5</v>
      </c>
      <c r="B6" s="4">
        <v>20</v>
      </c>
      <c r="C6" s="5" t="s">
        <v>21</v>
      </c>
      <c r="D6" s="4">
        <v>3</v>
      </c>
      <c r="E6" s="5" t="s">
        <v>25</v>
      </c>
      <c r="F6" s="5" t="s">
        <v>22</v>
      </c>
      <c r="G6" s="5" t="s">
        <v>26</v>
      </c>
      <c r="H6" s="5" t="s">
        <v>15</v>
      </c>
      <c r="I6" s="5" t="s">
        <v>22</v>
      </c>
      <c r="J6" s="5" t="s">
        <v>23</v>
      </c>
      <c r="K6" s="5" t="s">
        <v>17</v>
      </c>
    </row>
    <row r="7" spans="1:11" ht="22.5" customHeight="1" x14ac:dyDescent="0.25">
      <c r="A7" s="4">
        <v>6</v>
      </c>
      <c r="B7" s="4">
        <v>23</v>
      </c>
      <c r="C7" s="5" t="s">
        <v>11</v>
      </c>
      <c r="D7" s="4">
        <v>8</v>
      </c>
      <c r="E7" s="5" t="s">
        <v>12</v>
      </c>
      <c r="F7" s="5" t="s">
        <v>22</v>
      </c>
      <c r="G7" s="5" t="s">
        <v>19</v>
      </c>
      <c r="H7" s="5" t="s">
        <v>15</v>
      </c>
      <c r="I7" s="5" t="s">
        <v>13</v>
      </c>
      <c r="J7" s="5" t="s">
        <v>27</v>
      </c>
      <c r="K7" s="5" t="s">
        <v>17</v>
      </c>
    </row>
    <row r="8" spans="1:11" ht="22.5" customHeight="1" x14ac:dyDescent="0.25">
      <c r="A8" s="4">
        <v>7</v>
      </c>
      <c r="B8" s="4">
        <v>43</v>
      </c>
      <c r="C8" s="5" t="s">
        <v>21</v>
      </c>
      <c r="D8" s="4">
        <v>9</v>
      </c>
      <c r="E8" s="5" t="s">
        <v>12</v>
      </c>
      <c r="F8" s="5" t="s">
        <v>13</v>
      </c>
      <c r="G8" s="5" t="s">
        <v>19</v>
      </c>
      <c r="H8" s="5" t="s">
        <v>15</v>
      </c>
      <c r="I8" s="5" t="s">
        <v>22</v>
      </c>
      <c r="J8" s="5" t="s">
        <v>28</v>
      </c>
      <c r="K8" s="5" t="s">
        <v>17</v>
      </c>
    </row>
    <row r="9" spans="1:11" ht="22.5" customHeight="1" x14ac:dyDescent="0.25">
      <c r="A9" s="4">
        <v>8</v>
      </c>
      <c r="B9" s="4">
        <v>19</v>
      </c>
      <c r="C9" s="5" t="s">
        <v>11</v>
      </c>
      <c r="D9" s="4">
        <v>4</v>
      </c>
      <c r="E9" s="5" t="s">
        <v>25</v>
      </c>
      <c r="F9" s="5" t="s">
        <v>13</v>
      </c>
      <c r="G9" s="5" t="s">
        <v>29</v>
      </c>
      <c r="H9" s="5" t="s">
        <v>30</v>
      </c>
      <c r="I9" s="5" t="s">
        <v>31</v>
      </c>
      <c r="J9" s="5" t="s">
        <v>30</v>
      </c>
      <c r="K9" s="5" t="s">
        <v>32</v>
      </c>
    </row>
    <row r="10" spans="1:11" ht="22.5" customHeight="1" x14ac:dyDescent="0.25">
      <c r="A10" s="4">
        <v>9</v>
      </c>
      <c r="B10" s="4">
        <v>29</v>
      </c>
      <c r="C10" s="5" t="s">
        <v>21</v>
      </c>
      <c r="D10" s="4">
        <v>9</v>
      </c>
      <c r="E10" s="5" t="s">
        <v>12</v>
      </c>
      <c r="F10" s="5" t="s">
        <v>22</v>
      </c>
      <c r="G10" s="5" t="s">
        <v>14</v>
      </c>
      <c r="H10" s="5" t="s">
        <v>30</v>
      </c>
      <c r="I10" s="5" t="s">
        <v>13</v>
      </c>
      <c r="J10" s="5" t="s">
        <v>33</v>
      </c>
      <c r="K10" s="5" t="s">
        <v>17</v>
      </c>
    </row>
    <row r="11" spans="1:11" ht="22.5" customHeight="1" x14ac:dyDescent="0.25">
      <c r="A11" s="4">
        <v>10</v>
      </c>
      <c r="B11" s="4">
        <v>23</v>
      </c>
      <c r="C11" s="5" t="s">
        <v>21</v>
      </c>
      <c r="D11" s="4">
        <v>6</v>
      </c>
      <c r="E11" s="5" t="s">
        <v>12</v>
      </c>
      <c r="F11" s="5" t="s">
        <v>13</v>
      </c>
      <c r="G11" s="5" t="s">
        <v>19</v>
      </c>
      <c r="H11" s="5" t="s">
        <v>15</v>
      </c>
      <c r="I11" s="5" t="s">
        <v>22</v>
      </c>
      <c r="J11" s="5" t="s">
        <v>34</v>
      </c>
      <c r="K11" s="5" t="s">
        <v>17</v>
      </c>
    </row>
    <row r="12" spans="1:11" ht="22.5" customHeight="1" x14ac:dyDescent="0.25">
      <c r="A12" s="4">
        <v>11</v>
      </c>
      <c r="B12" s="4">
        <v>32</v>
      </c>
      <c r="C12" s="5" t="s">
        <v>21</v>
      </c>
      <c r="D12" s="4">
        <v>9</v>
      </c>
      <c r="E12" s="5" t="s">
        <v>12</v>
      </c>
      <c r="F12" s="5" t="s">
        <v>13</v>
      </c>
      <c r="G12" s="5" t="s">
        <v>19</v>
      </c>
      <c r="H12" s="5" t="s">
        <v>15</v>
      </c>
      <c r="I12" s="5" t="s">
        <v>13</v>
      </c>
      <c r="J12" s="5" t="s">
        <v>35</v>
      </c>
      <c r="K12" s="5" t="s">
        <v>17</v>
      </c>
    </row>
    <row r="13" spans="1:11" ht="22.5" customHeight="1" x14ac:dyDescent="0.25">
      <c r="A13" s="4">
        <v>12</v>
      </c>
      <c r="B13" s="4">
        <v>22</v>
      </c>
      <c r="C13" s="5" t="s">
        <v>21</v>
      </c>
      <c r="D13" s="4">
        <v>9</v>
      </c>
      <c r="E13" s="5" t="s">
        <v>12</v>
      </c>
      <c r="F13" s="5" t="s">
        <v>22</v>
      </c>
      <c r="G13" s="5" t="s">
        <v>26</v>
      </c>
      <c r="H13" s="5" t="s">
        <v>15</v>
      </c>
      <c r="I13" s="5" t="s">
        <v>22</v>
      </c>
      <c r="J13" s="6" t="s">
        <v>42</v>
      </c>
      <c r="K13" s="5" t="s">
        <v>17</v>
      </c>
    </row>
    <row r="14" spans="1:11" ht="22.5" customHeight="1" x14ac:dyDescent="0.25">
      <c r="A14" s="4">
        <v>13</v>
      </c>
      <c r="B14" s="4">
        <v>22</v>
      </c>
      <c r="C14" s="5" t="s">
        <v>11</v>
      </c>
      <c r="D14" s="4">
        <v>9</v>
      </c>
      <c r="E14" s="5" t="s">
        <v>12</v>
      </c>
      <c r="F14" s="5" t="s">
        <v>37</v>
      </c>
      <c r="G14" s="5" t="s">
        <v>26</v>
      </c>
      <c r="H14" s="5" t="s">
        <v>15</v>
      </c>
      <c r="I14" s="5" t="s">
        <v>13</v>
      </c>
      <c r="J14" s="5" t="s">
        <v>33</v>
      </c>
      <c r="K14" s="5" t="s">
        <v>17</v>
      </c>
    </row>
    <row r="15" spans="1:11" ht="22.5" customHeight="1" x14ac:dyDescent="0.25">
      <c r="A15" s="4">
        <v>14</v>
      </c>
      <c r="B15" s="4">
        <v>22</v>
      </c>
      <c r="C15" s="5" t="s">
        <v>21</v>
      </c>
      <c r="D15" s="4">
        <v>9</v>
      </c>
      <c r="E15" s="5" t="s">
        <v>12</v>
      </c>
      <c r="F15" s="5" t="s">
        <v>22</v>
      </c>
      <c r="G15" s="5" t="s">
        <v>19</v>
      </c>
      <c r="H15" s="5" t="s">
        <v>15</v>
      </c>
      <c r="I15" s="5" t="s">
        <v>13</v>
      </c>
      <c r="J15" s="5" t="s">
        <v>33</v>
      </c>
      <c r="K15" s="5" t="s">
        <v>17</v>
      </c>
    </row>
    <row r="16" spans="1:11" ht="22.5" customHeight="1" x14ac:dyDescent="0.25">
      <c r="A16" s="4">
        <v>15</v>
      </c>
      <c r="B16" s="4">
        <v>24</v>
      </c>
      <c r="C16" s="5" t="s">
        <v>21</v>
      </c>
      <c r="D16" s="4">
        <v>7</v>
      </c>
      <c r="E16" s="5" t="s">
        <v>25</v>
      </c>
      <c r="F16" s="5" t="s">
        <v>13</v>
      </c>
      <c r="G16" s="5" t="s">
        <v>19</v>
      </c>
      <c r="H16" s="5" t="s">
        <v>15</v>
      </c>
      <c r="I16" s="5" t="s">
        <v>13</v>
      </c>
      <c r="J16" s="5" t="s">
        <v>35</v>
      </c>
      <c r="K16" s="5" t="s">
        <v>17</v>
      </c>
    </row>
    <row r="17" spans="1:11" ht="22.5" customHeight="1" x14ac:dyDescent="0.25">
      <c r="A17" s="4">
        <v>16</v>
      </c>
      <c r="B17" s="4">
        <v>27</v>
      </c>
      <c r="C17" s="5" t="s">
        <v>21</v>
      </c>
      <c r="D17" s="4">
        <v>7</v>
      </c>
      <c r="E17" s="5" t="s">
        <v>18</v>
      </c>
      <c r="F17" s="5" t="s">
        <v>13</v>
      </c>
      <c r="G17" s="5" t="s">
        <v>19</v>
      </c>
      <c r="H17" s="5" t="s">
        <v>15</v>
      </c>
      <c r="I17" s="5" t="s">
        <v>13</v>
      </c>
      <c r="J17" s="5" t="s">
        <v>33</v>
      </c>
      <c r="K17" s="5" t="s">
        <v>17</v>
      </c>
    </row>
    <row r="18" spans="1:11" ht="22.5" customHeight="1" x14ac:dyDescent="0.25">
      <c r="A18" s="4">
        <v>17</v>
      </c>
      <c r="B18" s="4">
        <v>23</v>
      </c>
      <c r="C18" s="5" t="s">
        <v>21</v>
      </c>
      <c r="D18" s="4">
        <v>8</v>
      </c>
      <c r="E18" s="5" t="s">
        <v>12</v>
      </c>
      <c r="F18" s="5" t="s">
        <v>22</v>
      </c>
      <c r="G18" s="5" t="s">
        <v>26</v>
      </c>
      <c r="H18" s="5" t="s">
        <v>15</v>
      </c>
      <c r="I18" s="5" t="s">
        <v>22</v>
      </c>
      <c r="J18" s="6" t="s">
        <v>48</v>
      </c>
      <c r="K18" s="5" t="s">
        <v>17</v>
      </c>
    </row>
    <row r="19" spans="1:11" ht="22.5" customHeight="1" x14ac:dyDescent="0.25">
      <c r="A19" s="4">
        <v>18</v>
      </c>
      <c r="B19" s="4">
        <v>22</v>
      </c>
      <c r="C19" s="5" t="s">
        <v>21</v>
      </c>
      <c r="D19" s="4">
        <v>3</v>
      </c>
      <c r="E19" s="5" t="s">
        <v>25</v>
      </c>
      <c r="F19" s="5" t="s">
        <v>13</v>
      </c>
      <c r="G19" s="5" t="s">
        <v>19</v>
      </c>
      <c r="H19" s="5" t="s">
        <v>15</v>
      </c>
      <c r="I19" s="5" t="s">
        <v>13</v>
      </c>
      <c r="J19" s="6" t="s">
        <v>48</v>
      </c>
      <c r="K19" s="5" t="s">
        <v>17</v>
      </c>
    </row>
    <row r="20" spans="1:11" ht="22.5" customHeight="1" x14ac:dyDescent="0.25">
      <c r="A20" s="4">
        <v>19</v>
      </c>
      <c r="B20" s="4">
        <v>21</v>
      </c>
      <c r="C20" s="5" t="s">
        <v>21</v>
      </c>
      <c r="D20" s="4">
        <v>9</v>
      </c>
      <c r="E20" s="5" t="s">
        <v>25</v>
      </c>
      <c r="F20" s="5" t="s">
        <v>22</v>
      </c>
      <c r="G20" s="5" t="s">
        <v>14</v>
      </c>
      <c r="H20" s="5" t="s">
        <v>15</v>
      </c>
      <c r="I20" s="5" t="s">
        <v>13</v>
      </c>
      <c r="J20" s="5" t="s">
        <v>30</v>
      </c>
      <c r="K20" s="5" t="s">
        <v>17</v>
      </c>
    </row>
    <row r="21" spans="1:11" ht="22.5" customHeight="1" x14ac:dyDescent="0.25">
      <c r="A21" s="4">
        <v>20</v>
      </c>
      <c r="B21" s="4">
        <v>20</v>
      </c>
      <c r="C21" s="5" t="s">
        <v>11</v>
      </c>
      <c r="D21" s="4">
        <v>4</v>
      </c>
      <c r="E21" s="5" t="s">
        <v>25</v>
      </c>
      <c r="F21" s="5" t="s">
        <v>22</v>
      </c>
      <c r="G21" s="5" t="s">
        <v>14</v>
      </c>
      <c r="H21" s="5" t="s">
        <v>15</v>
      </c>
      <c r="I21" s="5" t="s">
        <v>22</v>
      </c>
      <c r="J21" s="5" t="s">
        <v>30</v>
      </c>
      <c r="K21" s="5" t="s">
        <v>17</v>
      </c>
    </row>
    <row r="22" spans="1:11" ht="22.5" customHeight="1" x14ac:dyDescent="0.25">
      <c r="A22" s="4">
        <v>21</v>
      </c>
      <c r="B22" s="4">
        <v>22</v>
      </c>
      <c r="C22" s="5" t="s">
        <v>11</v>
      </c>
      <c r="D22" s="4">
        <v>6</v>
      </c>
      <c r="E22" s="5" t="s">
        <v>12</v>
      </c>
      <c r="F22" s="5" t="s">
        <v>13</v>
      </c>
      <c r="G22" s="5" t="s">
        <v>29</v>
      </c>
      <c r="H22" s="5" t="s">
        <v>15</v>
      </c>
      <c r="I22" s="5" t="s">
        <v>13</v>
      </c>
      <c r="J22" s="5" t="s">
        <v>34</v>
      </c>
      <c r="K22" s="5" t="s">
        <v>17</v>
      </c>
    </row>
    <row r="23" spans="1:11" ht="22.5" customHeight="1" x14ac:dyDescent="0.25">
      <c r="A23" s="4">
        <v>22</v>
      </c>
      <c r="B23" s="4">
        <v>21</v>
      </c>
      <c r="C23" s="5" t="s">
        <v>21</v>
      </c>
      <c r="D23" s="4">
        <v>4</v>
      </c>
      <c r="E23" s="5" t="s">
        <v>12</v>
      </c>
      <c r="F23" s="5" t="s">
        <v>13</v>
      </c>
      <c r="G23" s="5" t="s">
        <v>19</v>
      </c>
      <c r="H23" s="5" t="s">
        <v>15</v>
      </c>
      <c r="I23" s="5" t="s">
        <v>13</v>
      </c>
      <c r="J23" s="5" t="s">
        <v>34</v>
      </c>
      <c r="K23" s="5" t="s">
        <v>17</v>
      </c>
    </row>
    <row r="24" spans="1:11" ht="22.5" customHeight="1" x14ac:dyDescent="0.25">
      <c r="A24" s="4">
        <v>23</v>
      </c>
      <c r="B24" s="4">
        <v>22</v>
      </c>
      <c r="C24" s="5" t="s">
        <v>21</v>
      </c>
      <c r="D24" s="4">
        <v>8</v>
      </c>
      <c r="E24" s="5" t="s">
        <v>12</v>
      </c>
      <c r="F24" s="5" t="s">
        <v>13</v>
      </c>
      <c r="G24" s="5" t="s">
        <v>19</v>
      </c>
      <c r="H24" s="5" t="s">
        <v>15</v>
      </c>
      <c r="I24" s="5" t="s">
        <v>13</v>
      </c>
      <c r="J24" s="5" t="s">
        <v>33</v>
      </c>
      <c r="K24" s="5" t="s">
        <v>17</v>
      </c>
    </row>
    <row r="25" spans="1:11" ht="22.5" customHeight="1" x14ac:dyDescent="0.25">
      <c r="A25" s="4">
        <v>24</v>
      </c>
      <c r="B25" s="4">
        <v>22</v>
      </c>
      <c r="C25" s="5" t="s">
        <v>21</v>
      </c>
      <c r="D25" s="4">
        <v>9</v>
      </c>
      <c r="E25" s="5" t="s">
        <v>18</v>
      </c>
      <c r="F25" s="5" t="s">
        <v>22</v>
      </c>
      <c r="G25" s="5" t="s">
        <v>14</v>
      </c>
      <c r="H25" s="5" t="s">
        <v>15</v>
      </c>
      <c r="I25" s="5" t="s">
        <v>22</v>
      </c>
      <c r="J25" s="6" t="s">
        <v>55</v>
      </c>
      <c r="K25" s="5" t="s">
        <v>17</v>
      </c>
    </row>
    <row r="26" spans="1:11" ht="22.5" customHeight="1" x14ac:dyDescent="0.25">
      <c r="A26" s="4">
        <v>25</v>
      </c>
      <c r="B26" s="4">
        <v>24</v>
      </c>
      <c r="C26" s="5" t="s">
        <v>21</v>
      </c>
      <c r="D26" s="4">
        <v>10</v>
      </c>
      <c r="E26" s="5" t="s">
        <v>18</v>
      </c>
      <c r="F26" s="5" t="s">
        <v>13</v>
      </c>
      <c r="G26" s="5" t="s">
        <v>19</v>
      </c>
      <c r="H26" s="5" t="s">
        <v>15</v>
      </c>
      <c r="I26" s="5" t="s">
        <v>22</v>
      </c>
      <c r="J26" s="5" t="s">
        <v>35</v>
      </c>
      <c r="K26" s="5" t="s">
        <v>17</v>
      </c>
    </row>
    <row r="27" spans="1:11" ht="22.5" customHeight="1" x14ac:dyDescent="0.25">
      <c r="A27" s="4">
        <v>26</v>
      </c>
      <c r="B27" s="4">
        <v>22</v>
      </c>
      <c r="C27" s="5" t="s">
        <v>21</v>
      </c>
      <c r="D27" s="4">
        <v>9</v>
      </c>
      <c r="E27" s="5" t="s">
        <v>12</v>
      </c>
      <c r="F27" s="5" t="s">
        <v>13</v>
      </c>
      <c r="G27" s="5" t="s">
        <v>14</v>
      </c>
      <c r="H27" s="5" t="s">
        <v>15</v>
      </c>
      <c r="I27" s="5" t="s">
        <v>22</v>
      </c>
      <c r="J27" s="5" t="s">
        <v>35</v>
      </c>
      <c r="K27" s="5" t="s">
        <v>17</v>
      </c>
    </row>
    <row r="28" spans="1:11" ht="22.5" customHeight="1" x14ac:dyDescent="0.25">
      <c r="A28" s="4">
        <v>27</v>
      </c>
      <c r="B28" s="4">
        <v>21</v>
      </c>
      <c r="C28" s="5" t="s">
        <v>11</v>
      </c>
      <c r="D28" s="4">
        <v>9</v>
      </c>
      <c r="E28" s="5" t="s">
        <v>12</v>
      </c>
      <c r="F28" s="5" t="s">
        <v>13</v>
      </c>
      <c r="G28" s="5" t="s">
        <v>14</v>
      </c>
      <c r="H28" s="5" t="s">
        <v>15</v>
      </c>
      <c r="I28" s="5" t="s">
        <v>13</v>
      </c>
      <c r="J28" s="5" t="s">
        <v>35</v>
      </c>
      <c r="K28" s="5" t="s">
        <v>17</v>
      </c>
    </row>
    <row r="29" spans="1:11" ht="22.5" customHeight="1" x14ac:dyDescent="0.25">
      <c r="A29" s="4">
        <v>28</v>
      </c>
      <c r="B29" s="4">
        <v>22</v>
      </c>
      <c r="C29" s="5" t="s">
        <v>21</v>
      </c>
      <c r="D29" s="4">
        <v>9</v>
      </c>
      <c r="E29" s="5" t="s">
        <v>12</v>
      </c>
      <c r="F29" s="5" t="s">
        <v>22</v>
      </c>
      <c r="G29" s="5" t="s">
        <v>19</v>
      </c>
      <c r="H29" s="5" t="s">
        <v>15</v>
      </c>
      <c r="I29" s="5" t="s">
        <v>22</v>
      </c>
      <c r="J29" s="5" t="s">
        <v>30</v>
      </c>
      <c r="K29" s="5" t="s">
        <v>17</v>
      </c>
    </row>
    <row r="30" spans="1:11" ht="22.5" customHeight="1" x14ac:dyDescent="0.25">
      <c r="A30" s="4">
        <v>29</v>
      </c>
      <c r="B30" s="4">
        <v>23</v>
      </c>
      <c r="C30" s="5" t="s">
        <v>21</v>
      </c>
      <c r="D30" s="4">
        <v>6</v>
      </c>
      <c r="E30" s="5" t="s">
        <v>12</v>
      </c>
      <c r="F30" s="5" t="s">
        <v>13</v>
      </c>
      <c r="G30" s="5" t="s">
        <v>19</v>
      </c>
      <c r="H30" s="5" t="s">
        <v>15</v>
      </c>
      <c r="I30" s="5" t="s">
        <v>22</v>
      </c>
      <c r="J30" s="5" t="s">
        <v>35</v>
      </c>
      <c r="K30" s="5" t="s">
        <v>17</v>
      </c>
    </row>
    <row r="31" spans="1:11" ht="22.5" customHeight="1" x14ac:dyDescent="0.25">
      <c r="A31" s="4">
        <v>30</v>
      </c>
      <c r="B31" s="4">
        <v>30</v>
      </c>
      <c r="C31" s="5" t="s">
        <v>21</v>
      </c>
      <c r="D31" s="4">
        <v>6</v>
      </c>
      <c r="E31" s="5" t="s">
        <v>12</v>
      </c>
      <c r="F31" s="5" t="s">
        <v>13</v>
      </c>
      <c r="G31" s="5" t="s">
        <v>19</v>
      </c>
      <c r="H31" s="5" t="s">
        <v>15</v>
      </c>
      <c r="I31" s="5" t="s">
        <v>22</v>
      </c>
      <c r="J31" s="6" t="s">
        <v>48</v>
      </c>
      <c r="K31" s="5" t="s">
        <v>17</v>
      </c>
    </row>
    <row r="32" spans="1:11" ht="22.5" customHeight="1" x14ac:dyDescent="0.25">
      <c r="A32" s="4">
        <v>31</v>
      </c>
      <c r="B32" s="4">
        <v>22</v>
      </c>
      <c r="C32" s="5" t="s">
        <v>21</v>
      </c>
      <c r="D32" s="4">
        <v>6</v>
      </c>
      <c r="E32" s="5" t="s">
        <v>25</v>
      </c>
      <c r="F32" s="5" t="s">
        <v>13</v>
      </c>
      <c r="G32" s="5" t="s">
        <v>14</v>
      </c>
      <c r="H32" s="5" t="s">
        <v>15</v>
      </c>
      <c r="I32" s="5" t="s">
        <v>22</v>
      </c>
      <c r="J32" s="5" t="s">
        <v>20</v>
      </c>
      <c r="K32" s="5" t="s">
        <v>17</v>
      </c>
    </row>
    <row r="33" spans="1:11" ht="15.75" customHeight="1" x14ac:dyDescent="0.25">
      <c r="A33">
        <v>32</v>
      </c>
      <c r="B33">
        <v>21</v>
      </c>
      <c r="C33" t="s">
        <v>11</v>
      </c>
      <c r="D33">
        <v>9</v>
      </c>
      <c r="E33" t="s">
        <v>18</v>
      </c>
      <c r="F33" t="s">
        <v>22</v>
      </c>
      <c r="G33" t="s">
        <v>14</v>
      </c>
      <c r="H33" t="s">
        <v>15</v>
      </c>
      <c r="I33" t="s">
        <v>22</v>
      </c>
      <c r="J33" t="s">
        <v>34</v>
      </c>
      <c r="K33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33"/>
  <sheetViews>
    <sheetView workbookViewId="0"/>
  </sheetViews>
  <sheetFormatPr defaultColWidth="12.6640625" defaultRowHeight="15.75" customHeight="1" x14ac:dyDescent="0.25"/>
  <cols>
    <col min="5" max="5" width="22.77734375" customWidth="1"/>
    <col min="6" max="6" width="24.77734375" customWidth="1"/>
    <col min="7" max="7" width="20.6640625" customWidth="1"/>
    <col min="8" max="8" width="15.88671875" customWidth="1"/>
    <col min="9" max="9" width="16.44140625" customWidth="1"/>
    <col min="10" max="10" width="21.77734375" customWidth="1"/>
    <col min="11" max="11" width="3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>
        <v>1</v>
      </c>
      <c r="B2" s="3">
        <v>22</v>
      </c>
      <c r="C2" s="3" t="s">
        <v>11</v>
      </c>
      <c r="D2" s="3">
        <v>8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13</v>
      </c>
      <c r="J2" s="3" t="s">
        <v>16</v>
      </c>
      <c r="K2" s="3" t="s">
        <v>17</v>
      </c>
    </row>
    <row r="3" spans="1:11" x14ac:dyDescent="0.25">
      <c r="A3" s="3">
        <v>2</v>
      </c>
      <c r="B3" s="3">
        <v>25</v>
      </c>
      <c r="C3" s="3" t="s">
        <v>11</v>
      </c>
      <c r="D3" s="3">
        <v>8</v>
      </c>
      <c r="E3" s="3" t="s">
        <v>18</v>
      </c>
      <c r="F3" s="3" t="s">
        <v>13</v>
      </c>
      <c r="G3" s="3" t="s">
        <v>19</v>
      </c>
      <c r="H3" s="3" t="s">
        <v>15</v>
      </c>
      <c r="I3" s="3" t="s">
        <v>13</v>
      </c>
      <c r="J3" s="3" t="s">
        <v>20</v>
      </c>
      <c r="K3" s="3" t="s">
        <v>17</v>
      </c>
    </row>
    <row r="4" spans="1:11" x14ac:dyDescent="0.25">
      <c r="A4" s="3">
        <v>3</v>
      </c>
      <c r="B4" s="3">
        <v>22</v>
      </c>
      <c r="C4" s="3" t="s">
        <v>21</v>
      </c>
      <c r="D4" s="3">
        <v>9</v>
      </c>
      <c r="E4" s="3" t="s">
        <v>12</v>
      </c>
      <c r="F4" s="3" t="s">
        <v>13</v>
      </c>
      <c r="G4" s="3" t="s">
        <v>19</v>
      </c>
      <c r="H4" s="3" t="s">
        <v>15</v>
      </c>
      <c r="I4" s="3" t="s">
        <v>22</v>
      </c>
      <c r="J4" s="3" t="s">
        <v>23</v>
      </c>
      <c r="K4" s="3" t="s">
        <v>17</v>
      </c>
    </row>
    <row r="5" spans="1:11" x14ac:dyDescent="0.25">
      <c r="A5" s="3">
        <v>4</v>
      </c>
      <c r="B5" s="3">
        <v>22</v>
      </c>
      <c r="C5" s="3" t="s">
        <v>21</v>
      </c>
      <c r="D5" s="3">
        <v>9</v>
      </c>
      <c r="E5" s="3" t="s">
        <v>18</v>
      </c>
      <c r="F5" s="3" t="s">
        <v>13</v>
      </c>
      <c r="G5" s="3" t="s">
        <v>19</v>
      </c>
      <c r="H5" s="3" t="s">
        <v>15</v>
      </c>
      <c r="I5" s="3" t="s">
        <v>22</v>
      </c>
      <c r="J5" s="3" t="s">
        <v>24</v>
      </c>
      <c r="K5" s="3" t="s">
        <v>17</v>
      </c>
    </row>
    <row r="6" spans="1:11" x14ac:dyDescent="0.25">
      <c r="A6" s="3">
        <v>5</v>
      </c>
      <c r="B6" s="3">
        <v>20</v>
      </c>
      <c r="C6" s="3" t="s">
        <v>21</v>
      </c>
      <c r="D6" s="3">
        <v>3</v>
      </c>
      <c r="E6" s="3" t="s">
        <v>25</v>
      </c>
      <c r="F6" s="3" t="s">
        <v>22</v>
      </c>
      <c r="G6" s="3" t="s">
        <v>26</v>
      </c>
      <c r="H6" s="3" t="s">
        <v>15</v>
      </c>
      <c r="I6" s="3" t="s">
        <v>22</v>
      </c>
      <c r="J6" s="3" t="s">
        <v>23</v>
      </c>
      <c r="K6" s="3" t="s">
        <v>17</v>
      </c>
    </row>
    <row r="7" spans="1:11" x14ac:dyDescent="0.25">
      <c r="A7" s="3">
        <v>6</v>
      </c>
      <c r="B7" s="3">
        <v>23</v>
      </c>
      <c r="C7" s="3" t="s">
        <v>11</v>
      </c>
      <c r="D7" s="3">
        <v>8</v>
      </c>
      <c r="E7" s="3" t="s">
        <v>12</v>
      </c>
      <c r="F7" s="3" t="s">
        <v>22</v>
      </c>
      <c r="G7" s="3" t="s">
        <v>19</v>
      </c>
      <c r="H7" s="3" t="s">
        <v>15</v>
      </c>
      <c r="I7" s="3" t="s">
        <v>13</v>
      </c>
      <c r="J7" s="3" t="s">
        <v>27</v>
      </c>
      <c r="K7" s="3" t="s">
        <v>17</v>
      </c>
    </row>
    <row r="8" spans="1:11" x14ac:dyDescent="0.25">
      <c r="A8" s="3">
        <v>7</v>
      </c>
      <c r="B8" s="3">
        <v>43</v>
      </c>
      <c r="C8" s="3" t="s">
        <v>21</v>
      </c>
      <c r="D8" s="3">
        <v>9</v>
      </c>
      <c r="E8" s="3" t="s">
        <v>12</v>
      </c>
      <c r="F8" s="3" t="s">
        <v>13</v>
      </c>
      <c r="G8" s="3" t="s">
        <v>19</v>
      </c>
      <c r="H8" s="3" t="s">
        <v>15</v>
      </c>
      <c r="I8" s="3" t="s">
        <v>22</v>
      </c>
      <c r="J8" s="3" t="s">
        <v>28</v>
      </c>
      <c r="K8" s="3" t="s">
        <v>17</v>
      </c>
    </row>
    <row r="9" spans="1:11" x14ac:dyDescent="0.25">
      <c r="A9" s="3">
        <v>8</v>
      </c>
      <c r="B9" s="3">
        <v>19</v>
      </c>
      <c r="C9" s="3" t="s">
        <v>11</v>
      </c>
      <c r="D9" s="3">
        <v>4</v>
      </c>
      <c r="E9" s="3" t="s">
        <v>25</v>
      </c>
      <c r="F9" s="3" t="s">
        <v>13</v>
      </c>
      <c r="G9" s="3" t="s">
        <v>29</v>
      </c>
      <c r="H9" s="3" t="s">
        <v>30</v>
      </c>
      <c r="I9" s="3" t="s">
        <v>31</v>
      </c>
      <c r="J9" s="3" t="s">
        <v>30</v>
      </c>
      <c r="K9" s="3" t="s">
        <v>32</v>
      </c>
    </row>
    <row r="10" spans="1:11" x14ac:dyDescent="0.25">
      <c r="A10" s="3">
        <v>9</v>
      </c>
      <c r="B10" s="3">
        <v>29</v>
      </c>
      <c r="C10" s="3" t="s">
        <v>21</v>
      </c>
      <c r="D10" s="3">
        <v>9</v>
      </c>
      <c r="E10" s="3" t="s">
        <v>12</v>
      </c>
      <c r="F10" s="3" t="s">
        <v>22</v>
      </c>
      <c r="G10" s="3" t="s">
        <v>14</v>
      </c>
      <c r="H10" s="3" t="s">
        <v>30</v>
      </c>
      <c r="I10" s="3" t="s">
        <v>13</v>
      </c>
      <c r="J10" s="3" t="s">
        <v>33</v>
      </c>
      <c r="K10" s="3" t="s">
        <v>17</v>
      </c>
    </row>
    <row r="11" spans="1:11" x14ac:dyDescent="0.25">
      <c r="A11" s="3">
        <v>10</v>
      </c>
      <c r="B11" s="3">
        <v>23</v>
      </c>
      <c r="C11" s="3" t="s">
        <v>21</v>
      </c>
      <c r="D11" s="3">
        <v>6</v>
      </c>
      <c r="E11" s="3" t="s">
        <v>12</v>
      </c>
      <c r="F11" s="3" t="s">
        <v>13</v>
      </c>
      <c r="G11" s="3" t="s">
        <v>19</v>
      </c>
      <c r="H11" s="3" t="s">
        <v>15</v>
      </c>
      <c r="I11" s="3" t="s">
        <v>22</v>
      </c>
      <c r="J11" s="3" t="s">
        <v>34</v>
      </c>
      <c r="K11" s="3" t="s">
        <v>17</v>
      </c>
    </row>
    <row r="12" spans="1:11" x14ac:dyDescent="0.25">
      <c r="A12" s="3">
        <v>11</v>
      </c>
      <c r="B12" s="3">
        <v>32</v>
      </c>
      <c r="C12" s="3" t="s">
        <v>21</v>
      </c>
      <c r="D12" s="3">
        <v>9</v>
      </c>
      <c r="E12" s="3" t="s">
        <v>12</v>
      </c>
      <c r="F12" s="3" t="s">
        <v>13</v>
      </c>
      <c r="G12" s="3" t="s">
        <v>19</v>
      </c>
      <c r="H12" s="3" t="s">
        <v>15</v>
      </c>
      <c r="I12" s="3" t="s">
        <v>13</v>
      </c>
      <c r="J12" s="3" t="s">
        <v>35</v>
      </c>
      <c r="K12" s="3" t="s">
        <v>17</v>
      </c>
    </row>
    <row r="13" spans="1:11" x14ac:dyDescent="0.25">
      <c r="A13" s="3">
        <v>12</v>
      </c>
      <c r="B13" s="3">
        <v>22</v>
      </c>
      <c r="C13" s="3" t="s">
        <v>21</v>
      </c>
      <c r="D13" s="3">
        <v>9</v>
      </c>
      <c r="E13" s="3" t="s">
        <v>12</v>
      </c>
      <c r="F13" s="3" t="s">
        <v>22</v>
      </c>
      <c r="G13" s="3" t="s">
        <v>26</v>
      </c>
      <c r="H13" s="3" t="s">
        <v>15</v>
      </c>
      <c r="I13" s="3" t="s">
        <v>22</v>
      </c>
      <c r="J13" s="3" t="s">
        <v>36</v>
      </c>
      <c r="K13" s="3" t="s">
        <v>17</v>
      </c>
    </row>
    <row r="14" spans="1:11" x14ac:dyDescent="0.25">
      <c r="A14" s="3">
        <v>13</v>
      </c>
      <c r="B14" s="3">
        <v>22</v>
      </c>
      <c r="C14" s="3" t="s">
        <v>11</v>
      </c>
      <c r="D14" s="3">
        <v>9</v>
      </c>
      <c r="E14" s="3" t="s">
        <v>12</v>
      </c>
      <c r="F14" s="3" t="s">
        <v>37</v>
      </c>
      <c r="G14" s="3" t="s">
        <v>26</v>
      </c>
      <c r="H14" s="3" t="s">
        <v>15</v>
      </c>
      <c r="I14" s="3" t="s">
        <v>13</v>
      </c>
      <c r="J14" s="3" t="s">
        <v>33</v>
      </c>
      <c r="K14" s="3" t="s">
        <v>17</v>
      </c>
    </row>
    <row r="15" spans="1:11" x14ac:dyDescent="0.25">
      <c r="A15" s="3">
        <v>14</v>
      </c>
      <c r="B15" s="3">
        <v>22</v>
      </c>
      <c r="C15" s="3" t="s">
        <v>21</v>
      </c>
      <c r="D15" s="3">
        <v>9</v>
      </c>
      <c r="E15" s="3" t="s">
        <v>12</v>
      </c>
      <c r="F15" s="3" t="s">
        <v>22</v>
      </c>
      <c r="G15" s="3" t="s">
        <v>19</v>
      </c>
      <c r="H15" s="3" t="s">
        <v>15</v>
      </c>
      <c r="I15" s="3" t="s">
        <v>13</v>
      </c>
      <c r="J15" s="3" t="s">
        <v>33</v>
      </c>
      <c r="K15" s="3" t="s">
        <v>17</v>
      </c>
    </row>
    <row r="16" spans="1:11" x14ac:dyDescent="0.25">
      <c r="A16" s="3">
        <v>15</v>
      </c>
      <c r="B16" s="3">
        <v>24</v>
      </c>
      <c r="C16" s="3" t="s">
        <v>21</v>
      </c>
      <c r="D16" s="3">
        <v>7</v>
      </c>
      <c r="E16" s="3" t="s">
        <v>25</v>
      </c>
      <c r="F16" s="3" t="s">
        <v>13</v>
      </c>
      <c r="G16" s="3" t="s">
        <v>19</v>
      </c>
      <c r="H16" s="3" t="s">
        <v>15</v>
      </c>
      <c r="I16" s="3" t="s">
        <v>13</v>
      </c>
      <c r="J16" s="3" t="s">
        <v>35</v>
      </c>
      <c r="K16" s="3" t="s">
        <v>17</v>
      </c>
    </row>
    <row r="17" spans="1:11" x14ac:dyDescent="0.25">
      <c r="A17" s="3">
        <v>16</v>
      </c>
      <c r="B17" s="3">
        <v>27</v>
      </c>
      <c r="C17" s="3" t="s">
        <v>21</v>
      </c>
      <c r="D17" s="3">
        <v>7</v>
      </c>
      <c r="E17" s="3" t="s">
        <v>18</v>
      </c>
      <c r="F17" s="3" t="s">
        <v>13</v>
      </c>
      <c r="G17" s="3" t="s">
        <v>19</v>
      </c>
      <c r="H17" s="3" t="s">
        <v>15</v>
      </c>
      <c r="I17" s="3" t="s">
        <v>13</v>
      </c>
      <c r="J17" s="3" t="s">
        <v>33</v>
      </c>
      <c r="K17" s="3" t="s">
        <v>17</v>
      </c>
    </row>
    <row r="18" spans="1:11" x14ac:dyDescent="0.25">
      <c r="A18" s="3">
        <v>17</v>
      </c>
      <c r="B18" s="3">
        <v>23</v>
      </c>
      <c r="C18" s="3" t="s">
        <v>21</v>
      </c>
      <c r="D18" s="3">
        <v>8</v>
      </c>
      <c r="E18" s="3" t="s">
        <v>12</v>
      </c>
      <c r="F18" s="3" t="s">
        <v>22</v>
      </c>
      <c r="G18" s="3" t="s">
        <v>26</v>
      </c>
      <c r="H18" s="3" t="s">
        <v>15</v>
      </c>
      <c r="I18" s="3" t="s">
        <v>22</v>
      </c>
      <c r="J18" s="3" t="s">
        <v>38</v>
      </c>
      <c r="K18" s="3" t="s">
        <v>17</v>
      </c>
    </row>
    <row r="19" spans="1:11" x14ac:dyDescent="0.25">
      <c r="A19" s="3">
        <v>18</v>
      </c>
      <c r="B19" s="3">
        <v>22</v>
      </c>
      <c r="C19" s="3" t="s">
        <v>21</v>
      </c>
      <c r="D19" s="3">
        <v>3</v>
      </c>
      <c r="E19" s="3" t="s">
        <v>25</v>
      </c>
      <c r="F19" s="3" t="s">
        <v>13</v>
      </c>
      <c r="G19" s="3" t="s">
        <v>19</v>
      </c>
      <c r="H19" s="3" t="s">
        <v>15</v>
      </c>
      <c r="I19" s="3" t="s">
        <v>13</v>
      </c>
      <c r="J19" s="3" t="s">
        <v>38</v>
      </c>
      <c r="K19" s="3" t="s">
        <v>17</v>
      </c>
    </row>
    <row r="20" spans="1:11" x14ac:dyDescent="0.25">
      <c r="A20" s="3">
        <v>19</v>
      </c>
      <c r="B20" s="3">
        <v>21</v>
      </c>
      <c r="C20" s="3" t="s">
        <v>21</v>
      </c>
      <c r="D20" s="3">
        <v>9</v>
      </c>
      <c r="E20" s="3" t="s">
        <v>25</v>
      </c>
      <c r="F20" s="3" t="s">
        <v>22</v>
      </c>
      <c r="G20" s="3" t="s">
        <v>14</v>
      </c>
      <c r="H20" s="3" t="s">
        <v>15</v>
      </c>
      <c r="I20" s="3" t="s">
        <v>13</v>
      </c>
      <c r="J20" s="3" t="s">
        <v>30</v>
      </c>
      <c r="K20" s="3" t="s">
        <v>17</v>
      </c>
    </row>
    <row r="21" spans="1:11" x14ac:dyDescent="0.25">
      <c r="A21" s="3">
        <v>20</v>
      </c>
      <c r="B21" s="3">
        <v>20</v>
      </c>
      <c r="C21" s="3" t="s">
        <v>11</v>
      </c>
      <c r="D21" s="3">
        <v>4</v>
      </c>
      <c r="E21" s="3" t="s">
        <v>25</v>
      </c>
      <c r="F21" s="3" t="s">
        <v>22</v>
      </c>
      <c r="G21" s="3" t="s">
        <v>14</v>
      </c>
      <c r="H21" s="3" t="s">
        <v>15</v>
      </c>
      <c r="I21" s="3" t="s">
        <v>22</v>
      </c>
      <c r="J21" s="3" t="s">
        <v>30</v>
      </c>
      <c r="K21" s="3" t="s">
        <v>17</v>
      </c>
    </row>
    <row r="22" spans="1:11" x14ac:dyDescent="0.25">
      <c r="A22" s="3">
        <v>21</v>
      </c>
      <c r="B22" s="3">
        <v>22</v>
      </c>
      <c r="C22" s="3" t="s">
        <v>11</v>
      </c>
      <c r="D22" s="3">
        <v>6</v>
      </c>
      <c r="E22" s="3" t="s">
        <v>12</v>
      </c>
      <c r="F22" s="3" t="s">
        <v>13</v>
      </c>
      <c r="G22" s="3" t="s">
        <v>29</v>
      </c>
      <c r="H22" s="3" t="s">
        <v>15</v>
      </c>
      <c r="I22" s="3" t="s">
        <v>13</v>
      </c>
      <c r="J22" s="3" t="s">
        <v>34</v>
      </c>
      <c r="K22" s="3" t="s">
        <v>17</v>
      </c>
    </row>
    <row r="23" spans="1:11" x14ac:dyDescent="0.25">
      <c r="A23" s="3">
        <v>22</v>
      </c>
      <c r="B23" s="3">
        <v>21</v>
      </c>
      <c r="C23" s="3" t="s">
        <v>21</v>
      </c>
      <c r="D23" s="3">
        <v>4</v>
      </c>
      <c r="E23" s="3" t="s">
        <v>12</v>
      </c>
      <c r="F23" s="3" t="s">
        <v>13</v>
      </c>
      <c r="G23" s="3" t="s">
        <v>19</v>
      </c>
      <c r="H23" s="3" t="s">
        <v>15</v>
      </c>
      <c r="I23" s="3" t="s">
        <v>13</v>
      </c>
      <c r="J23" s="3" t="s">
        <v>34</v>
      </c>
      <c r="K23" s="3" t="s">
        <v>17</v>
      </c>
    </row>
    <row r="24" spans="1:11" x14ac:dyDescent="0.25">
      <c r="A24" s="3">
        <v>23</v>
      </c>
      <c r="B24" s="3">
        <v>22</v>
      </c>
      <c r="C24" s="3" t="s">
        <v>21</v>
      </c>
      <c r="D24" s="3">
        <v>8</v>
      </c>
      <c r="E24" s="3" t="s">
        <v>12</v>
      </c>
      <c r="F24" s="3" t="s">
        <v>13</v>
      </c>
      <c r="G24" s="3" t="s">
        <v>19</v>
      </c>
      <c r="H24" s="3" t="s">
        <v>15</v>
      </c>
      <c r="I24" s="3" t="s">
        <v>13</v>
      </c>
      <c r="J24" s="3" t="s">
        <v>33</v>
      </c>
      <c r="K24" s="3" t="s">
        <v>17</v>
      </c>
    </row>
    <row r="25" spans="1:11" x14ac:dyDescent="0.25">
      <c r="A25" s="3">
        <v>24</v>
      </c>
      <c r="B25" s="3">
        <v>22</v>
      </c>
      <c r="C25" s="3" t="s">
        <v>21</v>
      </c>
      <c r="D25" s="3">
        <v>9</v>
      </c>
      <c r="E25" s="3" t="s">
        <v>18</v>
      </c>
      <c r="F25" s="3" t="s">
        <v>22</v>
      </c>
      <c r="G25" s="3" t="s">
        <v>14</v>
      </c>
      <c r="H25" s="3" t="s">
        <v>15</v>
      </c>
      <c r="I25" s="3" t="s">
        <v>22</v>
      </c>
      <c r="J25" s="3" t="s">
        <v>39</v>
      </c>
      <c r="K25" s="3" t="s">
        <v>17</v>
      </c>
    </row>
    <row r="26" spans="1:11" x14ac:dyDescent="0.25">
      <c r="A26" s="3">
        <v>25</v>
      </c>
      <c r="B26" s="3">
        <v>24</v>
      </c>
      <c r="C26" s="3" t="s">
        <v>21</v>
      </c>
      <c r="D26" s="3">
        <v>10</v>
      </c>
      <c r="E26" s="3" t="s">
        <v>18</v>
      </c>
      <c r="F26" s="3" t="s">
        <v>13</v>
      </c>
      <c r="G26" s="3" t="s">
        <v>19</v>
      </c>
      <c r="H26" s="3" t="s">
        <v>15</v>
      </c>
      <c r="I26" s="3" t="s">
        <v>22</v>
      </c>
      <c r="J26" s="3" t="s">
        <v>35</v>
      </c>
      <c r="K26" s="3" t="s">
        <v>17</v>
      </c>
    </row>
    <row r="27" spans="1:11" x14ac:dyDescent="0.25">
      <c r="A27" s="3">
        <v>26</v>
      </c>
      <c r="B27" s="3">
        <v>22</v>
      </c>
      <c r="C27" s="3" t="s">
        <v>21</v>
      </c>
      <c r="D27" s="3">
        <v>9</v>
      </c>
      <c r="E27" s="3" t="s">
        <v>12</v>
      </c>
      <c r="F27" s="3" t="s">
        <v>13</v>
      </c>
      <c r="G27" s="3" t="s">
        <v>14</v>
      </c>
      <c r="H27" s="3" t="s">
        <v>15</v>
      </c>
      <c r="I27" s="3" t="s">
        <v>22</v>
      </c>
      <c r="J27" s="3" t="s">
        <v>35</v>
      </c>
      <c r="K27" s="3" t="s">
        <v>17</v>
      </c>
    </row>
    <row r="28" spans="1:11" x14ac:dyDescent="0.25">
      <c r="A28" s="3">
        <v>27</v>
      </c>
      <c r="B28" s="3">
        <v>21</v>
      </c>
      <c r="C28" s="3" t="s">
        <v>11</v>
      </c>
      <c r="D28" s="3">
        <v>9</v>
      </c>
      <c r="E28" s="3" t="s">
        <v>12</v>
      </c>
      <c r="F28" s="3" t="s">
        <v>13</v>
      </c>
      <c r="G28" s="3" t="s">
        <v>14</v>
      </c>
      <c r="H28" s="3" t="s">
        <v>15</v>
      </c>
      <c r="I28" s="3" t="s">
        <v>13</v>
      </c>
      <c r="J28" s="3" t="s">
        <v>35</v>
      </c>
      <c r="K28" s="3" t="s">
        <v>17</v>
      </c>
    </row>
    <row r="29" spans="1:11" x14ac:dyDescent="0.25">
      <c r="A29" s="3">
        <v>28</v>
      </c>
      <c r="B29" s="3">
        <v>22</v>
      </c>
      <c r="C29" s="3" t="s">
        <v>21</v>
      </c>
      <c r="D29" s="3">
        <v>9</v>
      </c>
      <c r="E29" s="3" t="s">
        <v>12</v>
      </c>
      <c r="F29" s="3" t="s">
        <v>22</v>
      </c>
      <c r="G29" s="3" t="s">
        <v>19</v>
      </c>
      <c r="H29" s="3" t="s">
        <v>15</v>
      </c>
      <c r="I29" s="3" t="s">
        <v>22</v>
      </c>
      <c r="J29" s="3" t="s">
        <v>30</v>
      </c>
      <c r="K29" s="3" t="s">
        <v>17</v>
      </c>
    </row>
    <row r="30" spans="1:11" x14ac:dyDescent="0.25">
      <c r="A30" s="3">
        <v>29</v>
      </c>
      <c r="B30" s="3">
        <v>23</v>
      </c>
      <c r="C30" s="3" t="s">
        <v>21</v>
      </c>
      <c r="D30" s="3">
        <v>6</v>
      </c>
      <c r="E30" s="3" t="s">
        <v>12</v>
      </c>
      <c r="F30" s="3" t="s">
        <v>13</v>
      </c>
      <c r="G30" s="3" t="s">
        <v>19</v>
      </c>
      <c r="H30" s="3" t="s">
        <v>15</v>
      </c>
      <c r="I30" s="3" t="s">
        <v>22</v>
      </c>
      <c r="J30" s="3" t="s">
        <v>35</v>
      </c>
      <c r="K30" s="3" t="s">
        <v>17</v>
      </c>
    </row>
    <row r="31" spans="1:11" x14ac:dyDescent="0.25">
      <c r="A31" s="3">
        <v>30</v>
      </c>
      <c r="B31" s="3">
        <v>30</v>
      </c>
      <c r="C31" s="3" t="s">
        <v>21</v>
      </c>
      <c r="D31" s="3">
        <v>6</v>
      </c>
      <c r="E31" s="3" t="s">
        <v>12</v>
      </c>
      <c r="F31" s="3" t="s">
        <v>13</v>
      </c>
      <c r="G31" s="3" t="s">
        <v>19</v>
      </c>
      <c r="H31" s="3" t="s">
        <v>15</v>
      </c>
      <c r="I31" s="3" t="s">
        <v>22</v>
      </c>
      <c r="J31" s="3" t="s">
        <v>38</v>
      </c>
      <c r="K31" s="3" t="s">
        <v>17</v>
      </c>
    </row>
    <row r="32" spans="1:11" x14ac:dyDescent="0.25">
      <c r="A32" s="3">
        <v>31</v>
      </c>
      <c r="B32" s="3">
        <v>22</v>
      </c>
      <c r="C32" s="3" t="s">
        <v>21</v>
      </c>
      <c r="D32" s="3">
        <v>6</v>
      </c>
      <c r="E32" s="3" t="s">
        <v>25</v>
      </c>
      <c r="F32" s="3" t="s">
        <v>13</v>
      </c>
      <c r="G32" s="3" t="s">
        <v>14</v>
      </c>
      <c r="H32" s="3" t="s">
        <v>15</v>
      </c>
      <c r="I32" s="3" t="s">
        <v>22</v>
      </c>
      <c r="J32" s="3" t="s">
        <v>20</v>
      </c>
      <c r="K32" s="3" t="s">
        <v>17</v>
      </c>
    </row>
    <row r="33" spans="1:11" x14ac:dyDescent="0.25">
      <c r="A33" s="3">
        <v>32</v>
      </c>
      <c r="B33" s="3">
        <v>21</v>
      </c>
      <c r="C33" s="3" t="s">
        <v>11</v>
      </c>
      <c r="D33" s="3">
        <v>9</v>
      </c>
      <c r="E33" s="3" t="s">
        <v>18</v>
      </c>
      <c r="F33" s="3" t="s">
        <v>22</v>
      </c>
      <c r="G33" s="3" t="s">
        <v>14</v>
      </c>
      <c r="H33" s="3" t="s">
        <v>15</v>
      </c>
      <c r="I33" s="3" t="s">
        <v>22</v>
      </c>
      <c r="J33" s="3" t="s">
        <v>34</v>
      </c>
      <c r="K33" s="3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gaficos</vt:lpstr>
      <vt:lpstr>estatisticas</vt:lpstr>
      <vt:lpstr>base de dados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candeia</cp:lastModifiedBy>
  <dcterms:modified xsi:type="dcterms:W3CDTF">2026-08-13T19:03:27Z</dcterms:modified>
</cp:coreProperties>
</file>