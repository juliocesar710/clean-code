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2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7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aficos" sheetId="1" r:id="rId5"/>
    <sheet state="visible" name="estatisticas" sheetId="2" r:id="rId6"/>
    <sheet state="visible" name="base de dados" sheetId="3" r:id="rId7"/>
    <sheet state="visible" name="dados" sheetId="4" r:id="rId8"/>
  </sheets>
  <definedNames/>
  <calcPr/>
  <pivotCaches>
    <pivotCache cacheId="0" r:id="rId9"/>
  </pivotCaches>
</workbook>
</file>

<file path=xl/sharedStrings.xml><?xml version="1.0" encoding="utf-8"?>
<sst xmlns="http://schemas.openxmlformats.org/spreadsheetml/2006/main" count="589" uniqueCount="67">
  <si>
    <t>participante</t>
  </si>
  <si>
    <t>idade</t>
  </si>
  <si>
    <t>genero</t>
  </si>
  <si>
    <t>periodo</t>
  </si>
  <si>
    <t>quanto tempo você programa</t>
  </si>
  <si>
    <t>nivel de experiência com python</t>
  </si>
  <si>
    <t>frequência que usa python</t>
  </si>
  <si>
    <t>conhece clean code</t>
  </si>
  <si>
    <t>nivel em Clean Code</t>
  </si>
  <si>
    <t>o que leu sobre Clean Code</t>
  </si>
  <si>
    <t>importância da legibilidade no desenvolvimento</t>
  </si>
  <si>
    <t>feminino</t>
  </si>
  <si>
    <t>2-4 anos</t>
  </si>
  <si>
    <t>basica</t>
  </si>
  <si>
    <t>as vezes</t>
  </si>
  <si>
    <t>sim</t>
  </si>
  <si>
    <t>artigos/blog; já ouvi professores falando em sala de aula</t>
  </si>
  <si>
    <t>muito importante</t>
  </si>
  <si>
    <t>mais de 4 anos</t>
  </si>
  <si>
    <t>raramente</t>
  </si>
  <si>
    <t>artigos/blog; disciplina academica</t>
  </si>
  <si>
    <t>masculino</t>
  </si>
  <si>
    <t>intermediaria</t>
  </si>
  <si>
    <t>artigos/blogs; documentacao/tutorial</t>
  </si>
  <si>
    <t>artigos/blogs; documentacao/tutorial; livro clean code</t>
  </si>
  <si>
    <t>1-2 anos</t>
  </si>
  <si>
    <t>frequentemente</t>
  </si>
  <si>
    <t>artigos/blogs; documentacao/tutorial; disciplina academica</t>
  </si>
  <si>
    <t xml:space="preserve">artigos/blogs; documentacao/tutorial; cursos </t>
  </si>
  <si>
    <t>nunca</t>
  </si>
  <si>
    <t>nao</t>
  </si>
  <si>
    <t>nenhuma</t>
  </si>
  <si>
    <t>importante</t>
  </si>
  <si>
    <t>artigos/blogs</t>
  </si>
  <si>
    <t>documentacao/tutorial</t>
  </si>
  <si>
    <t>disciplina academica</t>
  </si>
  <si>
    <t>YouTube/Instagram</t>
  </si>
  <si>
    <t>avancada</t>
  </si>
  <si>
    <t>livro Clean Code</t>
  </si>
  <si>
    <t>artigos/blogs; documentacao/tutorial; livro Clean Code; disciplina academica</t>
  </si>
  <si>
    <t>TABELA GENERO DOS USUARIOS</t>
  </si>
  <si>
    <t>COUNT de participante</t>
  </si>
  <si>
    <t>TABELA PERIODO DOS PARTICIPANTES</t>
  </si>
  <si>
    <t>youtube/instagram</t>
  </si>
  <si>
    <t>percentual</t>
  </si>
  <si>
    <t>TABELA DE IDADE</t>
  </si>
  <si>
    <t>media</t>
  </si>
  <si>
    <t>mediana</t>
  </si>
  <si>
    <t>minima</t>
  </si>
  <si>
    <t>livro clean code</t>
  </si>
  <si>
    <t>maxima</t>
  </si>
  <si>
    <t>TABELA TEMPO DE PROGRAMACAO</t>
  </si>
  <si>
    <t>quantidade de participantes</t>
  </si>
  <si>
    <t>representação em porcentagem</t>
  </si>
  <si>
    <t>menos de 6 meses</t>
  </si>
  <si>
    <t>6 meses - 1 ano</t>
  </si>
  <si>
    <t>artigos/blogs; documentacao/tutorial; livro clean code; disciplina academica</t>
  </si>
  <si>
    <t>TABELA EXPERIENCIA EM PYTHON</t>
  </si>
  <si>
    <t>quantidade de alunos</t>
  </si>
  <si>
    <t>quantidadade em porcentagem</t>
  </si>
  <si>
    <t>TABELA FREQUENCIA QUE USA PYTHON</t>
  </si>
  <si>
    <t>muito frequentemente</t>
  </si>
  <si>
    <t>TABELA CONHECE CLEAN CODE?</t>
  </si>
  <si>
    <t>TABELA NIVEL DE CLEAN CODE</t>
  </si>
  <si>
    <t>TABELA IMPORTANCIA DO CLEAN CODE</t>
  </si>
  <si>
    <t>pouco importante</t>
  </si>
  <si>
    <t>TABELA FONTES CLEAN CODE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</si>
</sst>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i/>
      <color theme="1"/>
      <name val="Arial"/>
      <scheme val="minor"/>
    </font>
  </fonts>
  <fills count="7">
    <fill>
      <patternFill patternType="none"/>
    </fill>
    <fill>
      <patternFill patternType="lightGray"/>
    </fill>
    <fill>
      <patternFill patternType="solid">
        <fgColor rgb="FF999999"/>
        <bgColor rgb="FF999999"/>
      </patternFill>
    </fill>
    <fill>
      <patternFill patternType="solid">
        <fgColor rgb="FFB7B7B7"/>
        <bgColor rgb="FFB7B7B7"/>
      </patternFill>
    </fill>
    <fill>
      <patternFill patternType="solid">
        <fgColor rgb="FF5B95F9"/>
        <bgColor rgb="FF5B95F9"/>
      </patternFill>
    </fill>
    <fill>
      <patternFill patternType="solid">
        <fgColor rgb="FFFFFFFF"/>
        <bgColor rgb="FFFFFFFF"/>
      </patternFill>
    </fill>
    <fill>
      <patternFill patternType="solid">
        <fgColor rgb="FFE8F0FE"/>
        <bgColor rgb="FFE8F0FE"/>
      </patternFill>
    </fill>
  </fills>
  <borders count="1">
    <border/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0" fontId="2" numFmtId="0" xfId="0" applyAlignment="1" applyFont="1">
      <alignment horizontal="center" readingOrder="0" shrinkToFit="0" vertical="bottom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horizontal="right" shrinkToFit="0" vertical="bottom" wrapText="0"/>
    </xf>
    <xf borderId="0" fillId="0" fontId="2" numFmtId="0" xfId="0" applyAlignment="1" applyFont="1">
      <alignment shrinkToFit="0" vertical="bottom" wrapText="0"/>
    </xf>
    <xf borderId="0" fillId="3" fontId="1" numFmtId="0" xfId="0" applyAlignment="1" applyFill="1" applyFont="1">
      <alignment readingOrder="0"/>
    </xf>
    <xf borderId="0" fillId="0" fontId="1" numFmtId="0" xfId="0" applyFont="1"/>
    <xf borderId="0" fillId="0" fontId="1" numFmtId="10" xfId="0" applyFont="1" applyNumberFormat="1"/>
    <xf borderId="0" fillId="0" fontId="2" numFmtId="0" xfId="0" applyAlignment="1" applyFont="1">
      <alignment readingOrder="0" shrinkToFit="0" vertical="bottom" wrapText="0"/>
    </xf>
    <xf borderId="0" fillId="4" fontId="1" numFmtId="0" xfId="0" applyAlignment="1" applyFill="1" applyFont="1">
      <alignment readingOrder="0"/>
    </xf>
    <xf borderId="0" fillId="5" fontId="1" numFmtId="0" xfId="0" applyAlignment="1" applyFill="1" applyFont="1">
      <alignment readingOrder="0"/>
    </xf>
    <xf borderId="0" fillId="5" fontId="1" numFmtId="0" xfId="0" applyFont="1"/>
    <xf borderId="0" fillId="6" fontId="1" numFmtId="0" xfId="0" applyAlignment="1" applyFill="1" applyFont="1">
      <alignment readingOrder="0"/>
    </xf>
    <xf borderId="0" fillId="6" fontId="1" numFmtId="0" xfId="0" applyFont="1"/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10" xfId="0" applyAlignment="1" applyFont="1" applyNumberFormat="1">
      <alignment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0" fontId="3" numFmtId="10" xfId="0" applyAlignment="1" applyFont="1" applyNumberFormat="1">
      <alignment shrinkToFit="0" vertical="center" wrapText="0"/>
    </xf>
    <xf borderId="0" fillId="4" fontId="1" numFmtId="0" xfId="0" applyFont="1"/>
    <xf borderId="0" fillId="6" fontId="1" numFmtId="10" xfId="0" applyFont="1" applyNumberFormat="1"/>
    <xf borderId="0" fillId="5" fontId="1" numFmtId="10" xfId="0" applyFont="1" applyNumberFormat="1"/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7">
    <tableStyle count="4" pivot="0" name="base de dado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statistica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statistica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statistica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statistica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statistica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statisticas-style 6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pivotCacheDefinition" Target="pivotCache/pivotCacheDefinition1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>
        <c:manualLayout>
          <c:xMode val="edge"/>
          <c:yMode val="edge"/>
          <c:x val="0.07428580729166669"/>
          <c:y val="0.12630208333333334"/>
          <c:w val="0.8947975260416668"/>
          <c:h val="0.7751803964510332"/>
        </c:manualLayout>
      </c:layout>
      <c:barChart>
        <c:barDir val="col"/>
        <c:ser>
          <c:idx val="0"/>
          <c:order val="0"/>
          <c:tx>
            <c:v>quantidade de participantes</c:v>
          </c:tx>
          <c:spPr>
            <a:solidFill>
              <a:schemeClr val="accent1"/>
            </a:solidFill>
            <a:ln cmpd="sng">
              <a:noFill/>
            </a:ln>
          </c:spPr>
          <c:cat>
            <c:strRef>
              <c:f>estatisticas!$A$12:$A$18</c:f>
            </c:strRef>
          </c:cat>
          <c:val>
            <c:numRef>
              <c:f>estatisticas!$B$12:$B$18</c:f>
              <c:numCache/>
            </c:numRef>
          </c:val>
        </c:ser>
        <c:ser>
          <c:idx val="1"/>
          <c:order val="1"/>
          <c:tx>
            <c:v>quantidade de participantes em porcentagem</c:v>
          </c:tx>
          <c:spPr>
            <a:solidFill>
              <a:schemeClr val="accent2"/>
            </a:solidFill>
            <a:ln cmpd="sng">
              <a:noFill/>
            </a:ln>
          </c:spPr>
          <c:cat>
            <c:strRef>
              <c:f>estatisticas!$A$12:$A$18</c:f>
            </c:strRef>
          </c:cat>
          <c:val>
            <c:numRef>
              <c:f>estatisticas!$B$12:$B$18</c:f>
              <c:numCache/>
            </c:numRef>
          </c:val>
        </c:ser>
        <c:ser>
          <c:idx val="2"/>
          <c:order val="2"/>
          <c:tx>
            <c:strRef>
              <c:f>estatisticas!$B$10:$B$11</c:f>
            </c:strRef>
          </c:tx>
          <c:cat>
            <c:strRef>
              <c:f>estatisticas!$A$12:$A$18</c:f>
            </c:strRef>
          </c:cat>
          <c:val>
            <c:numRef>
              <c:f>estatisticas!$B$12:$B$18</c:f>
              <c:numCache/>
            </c:numRef>
          </c:val>
        </c:ser>
        <c:ser>
          <c:idx val="3"/>
          <c:order val="3"/>
          <c:tx>
            <c:strRef>
              <c:f>estatisticas!$C$10:$C$11</c:f>
            </c:strRef>
          </c:tx>
          <c:cat>
            <c:strRef>
              <c:f>estatisticas!$A$12:$A$18</c:f>
            </c:strRef>
          </c:cat>
          <c:val>
            <c:numRef>
              <c:f>estatisticas!$C$12:$C$18</c:f>
              <c:numCache/>
            </c:numRef>
          </c:val>
        </c:ser>
        <c:axId val="1193222418"/>
        <c:axId val="1089542937"/>
      </c:barChart>
      <c:catAx>
        <c:axId val="119322241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>período dos participantes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89542937"/>
      </c:catAx>
      <c:valAx>
        <c:axId val="1089542937"/>
        <c:scaling>
          <c:orientation val="minMax"/>
        </c:scaling>
        <c:delete val="0"/>
        <c:axPos val="l"/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>quantidade de participantes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9322241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ser>
          <c:idx val="0"/>
          <c:order val="0"/>
          <c:tx>
            <c:strRef>
              <c:f>estatisticas!$B$31</c:f>
            </c:strRef>
          </c:tx>
          <c:spPr>
            <a:solidFill>
              <a:schemeClr val="accent1"/>
            </a:solidFill>
            <a:ln cmpd="sng">
              <a:noFill/>
            </a:ln>
          </c:spPr>
          <c:cat>
            <c:strRef>
              <c:f>estatisticas!$A$32:$A$36</c:f>
            </c:strRef>
          </c:cat>
          <c:val>
            <c:numRef>
              <c:f>estatisticas!$B$32:$B$36</c:f>
              <c:numCache/>
            </c:numRef>
          </c:val>
        </c:ser>
        <c:ser>
          <c:idx val="1"/>
          <c:order val="1"/>
          <c:tx>
            <c:v>quantidade de participantes em porcentagem</c:v>
          </c:tx>
          <c:spPr>
            <a:solidFill>
              <a:schemeClr val="accent2"/>
            </a:solidFill>
            <a:ln cmpd="sng">
              <a:noFill/>
            </a:ln>
          </c:spPr>
          <c:cat>
            <c:strRef>
              <c:f>estatisticas!$A$32:$A$36</c:f>
            </c:strRef>
          </c:cat>
          <c:val>
            <c:numRef>
              <c:f>estatisticas!$B$32:$B$36</c:f>
              <c:numCache/>
            </c:numRef>
          </c:val>
        </c:ser>
        <c:ser>
          <c:idx val="2"/>
          <c:order val="2"/>
          <c:tx>
            <c:strRef>
              <c:f>estatisticas!$B$31</c:f>
            </c:strRef>
          </c:tx>
          <c:cat>
            <c:strRef>
              <c:f>estatisticas!$A$32:$A$36</c:f>
            </c:strRef>
          </c:cat>
          <c:val>
            <c:numRef>
              <c:f>estatisticas!$B$32:$B$36</c:f>
              <c:numCache/>
            </c:numRef>
          </c:val>
        </c:ser>
        <c:ser>
          <c:idx val="3"/>
          <c:order val="3"/>
          <c:tx>
            <c:strRef>
              <c:f>estatisticas!$C$31</c:f>
            </c:strRef>
          </c:tx>
          <c:cat>
            <c:strRef>
              <c:f>estatisticas!$A$32:$A$36</c:f>
            </c:strRef>
          </c:cat>
          <c:val>
            <c:numRef>
              <c:f>estatisticas!$C$32:$C$36</c:f>
              <c:numCache/>
            </c:numRef>
          </c:val>
        </c:ser>
        <c:axId val="691055883"/>
        <c:axId val="1701025141"/>
      </c:barChart>
      <c:catAx>
        <c:axId val="69105588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>tempo de programação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01025141"/>
      </c:catAx>
      <c:valAx>
        <c:axId val="1701025141"/>
        <c:scaling>
          <c:orientation val="minMax"/>
        </c:scaling>
        <c:delete val="0"/>
        <c:axPos val="l"/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>quantidade de participantes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9105588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Experiência com Python</a:t>
            </a:r>
          </a:p>
        </c:rich>
      </c:tx>
      <c:overlay val="0"/>
    </c:title>
    <c:plotArea>
      <c:layout>
        <c:manualLayout>
          <c:xMode val="edge"/>
          <c:yMode val="edge"/>
          <c:x val="0.06967482793898812"/>
          <c:y val="0.18629807692307693"/>
          <c:w val="0.8993727911086311"/>
          <c:h val="0.7204326923076922"/>
        </c:manualLayout>
      </c:layout>
      <c:barChart>
        <c:barDir val="col"/>
        <c:ser>
          <c:idx val="0"/>
          <c:order val="0"/>
          <c:tx>
            <c:strRef>
              <c:f>estatisticas!$B$39</c:f>
            </c:strRef>
          </c:tx>
          <c:spPr>
            <a:solidFill>
              <a:schemeClr val="accent1"/>
            </a:solidFill>
            <a:ln cmpd="sng">
              <a:noFill/>
            </a:ln>
          </c:spPr>
          <c:cat>
            <c:strRef>
              <c:f>estatisticas!$A$40:$A$43</c:f>
            </c:strRef>
          </c:cat>
          <c:val>
            <c:numRef>
              <c:f>estatisticas!$B$40:$B$43</c:f>
              <c:numCache/>
            </c:numRef>
          </c:val>
        </c:ser>
        <c:ser>
          <c:idx val="1"/>
          <c:order val="1"/>
          <c:tx>
            <c:strRef>
              <c:f>estatisticas!$B$39</c:f>
            </c:strRef>
          </c:tx>
          <c:spPr>
            <a:solidFill>
              <a:schemeClr val="accent2"/>
            </a:solidFill>
            <a:ln cmpd="sng">
              <a:noFill/>
            </a:ln>
          </c:spPr>
          <c:cat>
            <c:strRef>
              <c:f>estatisticas!$A$40:$A$43</c:f>
            </c:strRef>
          </c:cat>
          <c:val>
            <c:numRef>
              <c:f>estatisticas!$B$40:$B$43</c:f>
              <c:numCache/>
            </c:numRef>
          </c:val>
        </c:ser>
        <c:ser>
          <c:idx val="2"/>
          <c:order val="2"/>
          <c:tx>
            <c:strRef>
              <c:f>estatisticas!$B$39</c:f>
            </c:strRef>
          </c:tx>
          <c:cat>
            <c:strRef>
              <c:f>estatisticas!$A$40:$A$43</c:f>
            </c:strRef>
          </c:cat>
          <c:val>
            <c:numRef>
              <c:f>estatisticas!$B$40:$B$43</c:f>
              <c:numCache/>
            </c:numRef>
          </c:val>
        </c:ser>
        <c:ser>
          <c:idx val="3"/>
          <c:order val="3"/>
          <c:tx>
            <c:strRef>
              <c:f>estatisticas!$C$39</c:f>
            </c:strRef>
          </c:tx>
          <c:cat>
            <c:strRef>
              <c:f>estatisticas!$A$40:$A$43</c:f>
            </c:strRef>
          </c:cat>
          <c:val>
            <c:numRef>
              <c:f>estatisticas!$C$40:$C$43</c:f>
              <c:numCache/>
            </c:numRef>
          </c:val>
        </c:ser>
        <c:axId val="112392453"/>
        <c:axId val="433597847"/>
      </c:barChart>
      <c:catAx>
        <c:axId val="11239245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33597847"/>
      </c:catAx>
      <c:valAx>
        <c:axId val="433597847"/>
        <c:scaling>
          <c:orientation val="minMax"/>
        </c:scaling>
        <c:delete val="0"/>
        <c:axPos val="l"/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239245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Frequência que usa Python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estatisticas!$B$46</c:f>
            </c:strRef>
          </c:tx>
          <c:spPr>
            <a:solidFill>
              <a:schemeClr val="accent1"/>
            </a:solidFill>
            <a:ln cmpd="sng">
              <a:noFill/>
            </a:ln>
          </c:spPr>
          <c:cat>
            <c:strRef>
              <c:f>estatisticas!$A$47:$A$51</c:f>
            </c:strRef>
          </c:cat>
          <c:val>
            <c:numRef>
              <c:f>estatisticas!$B$47:$B$51</c:f>
              <c:numCache/>
            </c:numRef>
          </c:val>
        </c:ser>
        <c:ser>
          <c:idx val="1"/>
          <c:order val="1"/>
          <c:tx>
            <c:strRef>
              <c:f>estatisticas!$B$46</c:f>
            </c:strRef>
          </c:tx>
          <c:spPr>
            <a:solidFill>
              <a:schemeClr val="accent2"/>
            </a:solidFill>
            <a:ln cmpd="sng">
              <a:noFill/>
            </a:ln>
          </c:spPr>
          <c:cat>
            <c:strRef>
              <c:f>estatisticas!$A$47:$A$51</c:f>
            </c:strRef>
          </c:cat>
          <c:val>
            <c:numRef>
              <c:f>estatisticas!$B$47:$B$51</c:f>
              <c:numCache/>
            </c:numRef>
          </c:val>
        </c:ser>
        <c:ser>
          <c:idx val="2"/>
          <c:order val="2"/>
          <c:tx>
            <c:strRef>
              <c:f>estatisticas!$B$46</c:f>
            </c:strRef>
          </c:tx>
          <c:cat>
            <c:strRef>
              <c:f>estatisticas!$A$47:$A$51</c:f>
            </c:strRef>
          </c:cat>
          <c:val>
            <c:numRef>
              <c:f>estatisticas!$B$47:$B$51</c:f>
              <c:numCache/>
            </c:numRef>
          </c:val>
        </c:ser>
        <c:ser>
          <c:idx val="3"/>
          <c:order val="3"/>
          <c:tx>
            <c:strRef>
              <c:f>estatisticas!$C$46</c:f>
            </c:strRef>
          </c:tx>
          <c:cat>
            <c:strRef>
              <c:f>estatisticas!$A$47:$A$51</c:f>
            </c:strRef>
          </c:cat>
          <c:val>
            <c:numRef>
              <c:f>estatisticas!$C$47:$C$51</c:f>
              <c:numCache/>
            </c:numRef>
          </c:val>
        </c:ser>
        <c:axId val="1453478849"/>
        <c:axId val="699231251"/>
      </c:barChart>
      <c:catAx>
        <c:axId val="145347884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99231251"/>
      </c:catAx>
      <c:valAx>
        <c:axId val="699231251"/>
        <c:scaling>
          <c:orientation val="minMax"/>
        </c:scaling>
        <c:delete val="0"/>
        <c:axPos val="l"/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5347884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>
                <a:solidFill>
                  <a:srgbClr val="757575"/>
                </a:solidFill>
                <a:latin typeface="+mn-lt"/>
              </a:defRPr>
            </a:pPr>
            <a:r>
              <a:rPr b="0" i="0">
                <a:solidFill>
                  <a:srgbClr val="757575"/>
                </a:solidFill>
                <a:latin typeface="+mn-lt"/>
              </a:rPr>
              <a:t>Estudantes que conhecem Clean Code</a:t>
            </a:r>
          </a:p>
        </c:rich>
      </c:tx>
      <c:overlay val="0"/>
    </c:title>
    <c:view3D>
      <c:rotX val="50"/>
      <c:perspective val="0"/>
    </c:view3D>
    <c:plotArea>
      <c:layout/>
      <c:pie3DChart>
        <c:varyColors val="1"/>
        <c:ser>
          <c:idx val="0"/>
          <c:order val="0"/>
          <c:tx>
            <c:strRef>
              <c:f>estatisticas!$B$54</c:f>
            </c:strRef>
          </c:tx>
          <c:dPt>
            <c:idx val="0"/>
            <c:spPr>
              <a:solidFill>
                <a:srgbClr val="4285F4"/>
              </a:solidFill>
            </c:spPr>
          </c:dPt>
          <c:dPt>
            <c:idx val="1"/>
            <c:spPr>
              <a:solidFill>
                <a:srgbClr val="EA4335"/>
              </a:solidFill>
            </c:spPr>
          </c:dPt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1"/>
          </c:dLbls>
          <c:cat>
            <c:strRef>
              <c:f>estatisticas!$A$55:$A$56</c:f>
            </c:strRef>
          </c:cat>
          <c:val>
            <c:numRef>
              <c:f>estatisticas!$B$55:$B$56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</c:pie3D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Nível de conhecimento em Clean Code</a:t>
            </a:r>
          </a:p>
        </c:rich>
      </c:tx>
      <c:overlay val="0"/>
    </c:title>
    <c:view3D>
      <c:rotX val="50"/>
      <c:perspective val="0"/>
    </c:view3D>
    <c:plotArea>
      <c:layout/>
      <c:pie3DChart>
        <c:varyColors val="1"/>
        <c:ser>
          <c:idx val="0"/>
          <c:order val="0"/>
          <c:tx>
            <c:strRef>
              <c:f>estatisticas!$C$59</c:f>
            </c:strRef>
          </c:tx>
          <c:dPt>
            <c:idx val="0"/>
            <c:spPr>
              <a:solidFill>
                <a:schemeClr val="accent2"/>
              </a:solidFill>
            </c:spPr>
          </c:dPt>
          <c:dPt>
            <c:idx val="1"/>
            <c:spPr>
              <a:solidFill>
                <a:schemeClr val="accent1"/>
              </a:solidFill>
            </c:spPr>
          </c:dPt>
          <c:dPt>
            <c:idx val="2"/>
            <c:spPr>
              <a:solidFill>
                <a:schemeClr val="accent4"/>
              </a:solidFill>
            </c:spPr>
          </c:dPt>
          <c:dPt>
            <c:idx val="3"/>
            <c:spPr>
              <a:solidFill>
                <a:srgbClr val="34A853"/>
              </a:solidFill>
            </c:spPr>
          </c:dPt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1"/>
          </c:dLbls>
          <c:cat>
            <c:strRef>
              <c:f>estatisticas!$A$60:$A$63</c:f>
            </c:strRef>
          </c:cat>
          <c:val>
            <c:numRef>
              <c:f>estatisticas!$C$60:$C$63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</c:pie3D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Conteúdos de clean Code</a:t>
            </a:r>
          </a:p>
        </c:rich>
      </c:tx>
      <c:overlay val="0"/>
    </c:title>
    <c:plotArea>
      <c:layout>
        <c:manualLayout>
          <c:xMode val="edge"/>
          <c:yMode val="edge"/>
          <c:x val="0.07141754957231723"/>
          <c:y val="0.21685393258426966"/>
          <c:w val="0.8976337723561432"/>
          <c:h val="0.5089417123068526"/>
        </c:manualLayout>
      </c:layout>
      <c:barChart>
        <c:barDir val="col"/>
        <c:ser>
          <c:idx val="0"/>
          <c:order val="0"/>
          <c:tx>
            <c:strRef>
              <c:f>estatisticas!$B$76</c:f>
            </c:strRef>
          </c:tx>
          <c:spPr>
            <a:solidFill>
              <a:schemeClr val="accent1"/>
            </a:solidFill>
            <a:ln cmpd="sng">
              <a:noFill/>
            </a:ln>
          </c:spPr>
          <c:cat>
            <c:strRef>
              <c:f>estatisticas!$A$77:$A$82</c:f>
            </c:strRef>
          </c:cat>
          <c:val>
            <c:numRef>
              <c:f>estatisticas!$B$77:$B$82</c:f>
              <c:numCache/>
            </c:numRef>
          </c:val>
        </c:ser>
        <c:ser>
          <c:idx val="1"/>
          <c:order val="1"/>
          <c:tx>
            <c:strRef>
              <c:f>estatisticas!$B$76</c:f>
            </c:strRef>
          </c:tx>
          <c:spPr>
            <a:solidFill>
              <a:schemeClr val="accent2"/>
            </a:solidFill>
            <a:ln cmpd="sng">
              <a:noFill/>
            </a:ln>
          </c:spPr>
          <c:cat>
            <c:strRef>
              <c:f>estatisticas!$A$77:$A$82</c:f>
            </c:strRef>
          </c:cat>
          <c:val>
            <c:numRef>
              <c:f>estatisticas!$B$77:$B$82</c:f>
              <c:numCache/>
            </c:numRef>
          </c:val>
        </c:ser>
        <c:ser>
          <c:idx val="2"/>
          <c:order val="2"/>
          <c:tx>
            <c:strRef>
              <c:f>estatisticas!$B$76</c:f>
            </c:strRef>
          </c:tx>
          <c:cat>
            <c:strRef>
              <c:f>estatisticas!$A$77:$A$82</c:f>
            </c:strRef>
          </c:cat>
          <c:val>
            <c:numRef>
              <c:f>estatisticas!$B$77:$B$82</c:f>
              <c:numCache/>
            </c:numRef>
          </c:val>
        </c:ser>
        <c:ser>
          <c:idx val="3"/>
          <c:order val="3"/>
          <c:tx>
            <c:strRef>
              <c:f>estatisticas!$C$76</c:f>
            </c:strRef>
          </c:tx>
          <c:cat>
            <c:strRef>
              <c:f>estatisticas!$A$77:$A$82</c:f>
            </c:strRef>
          </c:cat>
          <c:val>
            <c:numRef>
              <c:f>estatisticas!$C$77:$C$82</c:f>
              <c:numCache/>
            </c:numRef>
          </c:val>
        </c:ser>
        <c:axId val="1977210901"/>
        <c:axId val="622586106"/>
      </c:barChart>
      <c:catAx>
        <c:axId val="19772109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22586106"/>
      </c:catAx>
      <c:valAx>
        <c:axId val="622586106"/>
        <c:scaling>
          <c:orientation val="minMax"/>
        </c:scaling>
        <c:delete val="0"/>
        <c:axPos val="l"/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7721090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809625</xdr:colOff>
      <xdr:row>0</xdr:row>
      <xdr:rowOff>0</xdr:rowOff>
    </xdr:from>
    <xdr:ext cx="5924550" cy="3657600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8</xdr:col>
      <xdr:colOff>209550</xdr:colOff>
      <xdr:row>12</xdr:row>
      <xdr:rowOff>228600</xdr:rowOff>
    </xdr:from>
    <xdr:ext cx="5715000" cy="3533775"/>
    <xdr:graphicFrame>
      <xdr:nvGraphicFramePr>
        <xdr:cNvPr id="3" name="Chart 3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0</xdr:col>
      <xdr:colOff>295275</xdr:colOff>
      <xdr:row>22</xdr:row>
      <xdr:rowOff>114300</xdr:rowOff>
    </xdr:from>
    <xdr:ext cx="6076950" cy="3762375"/>
    <xdr:graphicFrame>
      <xdr:nvGraphicFramePr>
        <xdr:cNvPr id="4" name="Chart 4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7</xdr:col>
      <xdr:colOff>228600</xdr:colOff>
      <xdr:row>31</xdr:row>
      <xdr:rowOff>76200</xdr:rowOff>
    </xdr:from>
    <xdr:ext cx="5715000" cy="3533775"/>
    <xdr:graphicFrame>
      <xdr:nvGraphicFramePr>
        <xdr:cNvPr id="5" name="Chart 5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0</xdr:col>
      <xdr:colOff>295275</xdr:colOff>
      <xdr:row>44</xdr:row>
      <xdr:rowOff>133350</xdr:rowOff>
    </xdr:from>
    <xdr:ext cx="5715000" cy="3533775"/>
    <xdr:graphicFrame>
      <xdr:nvGraphicFramePr>
        <xdr:cNvPr id="6" name="Chart 6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0</xdr:col>
      <xdr:colOff>114300</xdr:colOff>
      <xdr:row>64</xdr:row>
      <xdr:rowOff>76200</xdr:rowOff>
    </xdr:from>
    <xdr:ext cx="6257925" cy="3876675"/>
    <xdr:graphicFrame>
      <xdr:nvGraphicFramePr>
        <xdr:cNvPr id="7" name="Chart 7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2228850</xdr:colOff>
      <xdr:row>62</xdr:row>
      <xdr:rowOff>247650</xdr:rowOff>
    </xdr:from>
    <xdr:ext cx="6124575" cy="4238625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K32" sheet="base de dados"/>
  </cacheSource>
  <cacheFields>
    <cacheField name="participante" numFmtId="0">
      <sharedItems containsSemiMixedTypes="0" containsString="0" containsNumber="1" containsInteger="1">
        <n v="1.0"/>
        <n v="2.0"/>
        <n v="3.0"/>
        <n v="4.0"/>
        <n v="5.0"/>
        <n v="6.0"/>
        <n v="7.0"/>
        <n v="8.0"/>
        <n v="9.0"/>
        <n v="10.0"/>
        <n v="11.0"/>
        <n v="12.0"/>
        <n v="13.0"/>
        <n v="14.0"/>
        <n v="15.0"/>
        <n v="16.0"/>
        <n v="17.0"/>
        <n v="18.0"/>
        <n v="19.0"/>
        <n v="20.0"/>
        <n v="21.0"/>
        <n v="22.0"/>
        <n v="23.0"/>
        <n v="24.0"/>
        <n v="25.0"/>
        <n v="26.0"/>
        <n v="27.0"/>
        <n v="28.0"/>
        <n v="29.0"/>
        <n v="30.0"/>
        <n v="31.0"/>
      </sharedItems>
    </cacheField>
    <cacheField name="idade" numFmtId="0">
      <sharedItems containsSemiMixedTypes="0" containsString="0" containsNumber="1" containsInteger="1">
        <n v="22.0"/>
        <n v="25.0"/>
        <n v="20.0"/>
        <n v="23.0"/>
        <n v="43.0"/>
        <n v="19.0"/>
        <n v="29.0"/>
        <n v="32.0"/>
        <n v="24.0"/>
        <n v="27.0"/>
        <n v="21.0"/>
        <n v="30.0"/>
      </sharedItems>
    </cacheField>
    <cacheField name="genero" numFmtId="0">
      <sharedItems>
        <s v="feminino"/>
        <s v="masculino"/>
      </sharedItems>
    </cacheField>
    <cacheField name="periodo" numFmtId="0">
      <sharedItems containsSemiMixedTypes="0" containsString="0" containsNumber="1" containsInteger="1">
        <n v="8.0"/>
        <n v="9.0"/>
        <n v="3.0"/>
        <n v="4.0"/>
        <n v="6.0"/>
        <n v="7.0"/>
        <n v="10.0"/>
      </sharedItems>
    </cacheField>
    <cacheField name="quanto tempo você programa" numFmtId="0">
      <sharedItems>
        <s v="2-4 anos"/>
        <s v="mais de 4 anos"/>
        <s v="1-2 anos"/>
      </sharedItems>
    </cacheField>
    <cacheField name="nivel de experiência com python" numFmtId="0">
      <sharedItems>
        <s v="basica"/>
        <s v="intermediaria"/>
        <s v="avancada"/>
      </sharedItems>
    </cacheField>
    <cacheField name="frequência que usa python" numFmtId="0">
      <sharedItems>
        <s v="as vezes"/>
        <s v="raramente"/>
        <s v="frequentemente"/>
        <s v="nunca"/>
      </sharedItems>
    </cacheField>
    <cacheField name="conhece clean code" numFmtId="0">
      <sharedItems>
        <s v="sim"/>
        <s v="nao"/>
      </sharedItems>
    </cacheField>
    <cacheField name="nivel em Clean Code" numFmtId="0">
      <sharedItems>
        <s v="basica"/>
        <s v="intermediaria"/>
        <s v="nenhuma"/>
      </sharedItems>
    </cacheField>
    <cacheField name="o que leu sobre Clean Code" numFmtId="0">
      <sharedItems>
        <s v="artigos/blog; disciplina academica"/>
        <s v="artigos/blogs; documentacao/tutorial"/>
        <s v="artigos/blogs; documentacao/tutorial; livro clean code"/>
        <s v="artigos/blogs; documentacao/tutorial; disciplina academica"/>
        <s v="artigos/blogs; documentacao/tutorial; cursos "/>
        <s v="nao"/>
        <s v="artigos/blogs"/>
        <s v="documentacao/tutorial"/>
        <s v="disciplina academica"/>
        <s v="youtube/instagram"/>
        <s v="livro clean code"/>
        <s v="artigos/blogs; documentacao/tutorial; livro clean code; disciplina academica"/>
      </sharedItems>
    </cacheField>
    <cacheField name="importância da legibilidade no desenvolvimento" numFmtId="0">
      <sharedItems>
        <s v="muito importante"/>
        <s v="importante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estatisticas" cacheId="0" dataCaption="" rowGrandTotals="0" compact="0" compactData="0">
  <location ref="A3:C5" firstHeaderRow="0" firstDataRow="2" firstDataCol="0"/>
  <pivotFields>
    <pivotField name="participante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t="default"/>
      </items>
    </pivotField>
    <pivotField name="idad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genero" axis="axisRow" compact="0" outline="0" multipleItemSelectionAllowed="1" showAll="0" sortType="ascending">
      <items>
        <item x="0"/>
        <item x="1"/>
        <item t="default"/>
      </items>
    </pivotField>
    <pivotField name="periodo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uanto tempo você programa" compact="0" outline="0" multipleItemSelectionAllowed="1" showAll="0">
      <items>
        <item x="0"/>
        <item x="1"/>
        <item x="2"/>
        <item t="default"/>
      </items>
    </pivotField>
    <pivotField name="nivel de experiência com python" compact="0" outline="0" multipleItemSelectionAllowed="1" showAll="0">
      <items>
        <item x="0"/>
        <item x="1"/>
        <item x="2"/>
        <item t="default"/>
      </items>
    </pivotField>
    <pivotField name="frequência que usa python" compact="0" outline="0" multipleItemSelectionAllowed="1" showAll="0">
      <items>
        <item x="0"/>
        <item x="1"/>
        <item x="2"/>
        <item x="3"/>
        <item t="default"/>
      </items>
    </pivotField>
    <pivotField name="conhece clean code" compact="0" outline="0" multipleItemSelectionAllowed="1" showAll="0">
      <items>
        <item x="0"/>
        <item x="1"/>
        <item t="default"/>
      </items>
    </pivotField>
    <pivotField name="nivel em Clean Code" compact="0" outline="0" multipleItemSelectionAllowed="1" showAll="0">
      <items>
        <item x="0"/>
        <item x="1"/>
        <item x="2"/>
        <item t="default"/>
      </items>
    </pivotField>
    <pivotField name="o que leu sobre Clean Cod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mportância da legibilidade no desenvolvimento" compact="0" outline="0" multipleItemSelectionAllowed="1" showAll="0">
      <items>
        <item x="0"/>
        <item x="1"/>
        <item t="default"/>
      </items>
    </pivotField>
  </pivotFields>
  <rowFields>
    <field x="2"/>
  </rowFields>
  <colFields>
    <field x="-2"/>
  </colFields>
  <dataFields>
    <dataField name="COUNT of participante" fld="0" subtotal="countNums" baseField="0"/>
    <dataField name="COUNT of participante" fld="0" subtotal="countNums" showDataAs="percentOfTotal" baseField="0" numFmtId="10"/>
  </dataFields>
</pivotTableDefinition>
</file>

<file path=xl/pivotTables/pivotTable2.xml><?xml version="1.0" encoding="utf-8"?>
<pivotTableDefinition xmlns="http://schemas.openxmlformats.org/spreadsheetml/2006/main" name="estatisticas 2" cacheId="0" dataCaption="" rowGrandTotals="0" compact="0" compactData="0">
  <location ref="A11:C18" firstHeaderRow="0" firstDataRow="2" firstDataCol="0"/>
  <pivotFields>
    <pivotField name="participante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t="default"/>
      </items>
    </pivotField>
    <pivotField name="idad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genero" compact="0" outline="0" multipleItemSelectionAllowed="1" showAll="0">
      <items>
        <item x="0"/>
        <item x="1"/>
        <item t="default"/>
      </items>
    </pivotField>
    <pivotField name="periodo" axis="axisRow" compact="0" outline="0" multipleItemSelectionAllowed="1" showAll="0" sortType="ascending">
      <items>
        <item x="2"/>
        <item x="3"/>
        <item x="4"/>
        <item x="5"/>
        <item x="0"/>
        <item x="1"/>
        <item x="6"/>
        <item t="default"/>
      </items>
    </pivotField>
    <pivotField name="quanto tempo você programa" compact="0" outline="0" multipleItemSelectionAllowed="1" showAll="0">
      <items>
        <item x="0"/>
        <item x="1"/>
        <item x="2"/>
        <item t="default"/>
      </items>
    </pivotField>
    <pivotField name="nivel de experiência com python" compact="0" outline="0" multipleItemSelectionAllowed="1" showAll="0">
      <items>
        <item x="0"/>
        <item x="1"/>
        <item x="2"/>
        <item t="default"/>
      </items>
    </pivotField>
    <pivotField name="frequência que usa python" compact="0" outline="0" multipleItemSelectionAllowed="1" showAll="0">
      <items>
        <item x="0"/>
        <item x="1"/>
        <item x="2"/>
        <item x="3"/>
        <item t="default"/>
      </items>
    </pivotField>
    <pivotField name="conhece clean code" compact="0" outline="0" multipleItemSelectionAllowed="1" showAll="0">
      <items>
        <item x="0"/>
        <item x="1"/>
        <item t="default"/>
      </items>
    </pivotField>
    <pivotField name="nivel em Clean Code" compact="0" outline="0" multipleItemSelectionAllowed="1" showAll="0">
      <items>
        <item x="0"/>
        <item x="1"/>
        <item x="2"/>
        <item t="default"/>
      </items>
    </pivotField>
    <pivotField name="o que leu sobre Clean Cod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mportância da legibilidade no desenvolvimento" compact="0" outline="0" multipleItemSelectionAllowed="1" showAll="0">
      <items>
        <item x="0"/>
        <item x="1"/>
        <item t="default"/>
      </items>
    </pivotField>
  </pivotFields>
  <rowFields>
    <field x="3"/>
  </rowFields>
  <colFields>
    <field x="-2"/>
  </colFields>
  <dataFields>
    <dataField name="COUNT of participante" fld="0" subtotal="countNums" baseField="0"/>
    <dataField name="percentual" fld="0" subtotal="countNums" showDataAs="percentOfTotal" baseField="0" numFmtId="10"/>
  </dataFields>
</pivotTableDefinition>
</file>

<file path=xl/tables/table1.xml><?xml version="1.0" encoding="utf-8"?>
<table xmlns="http://schemas.openxmlformats.org/spreadsheetml/2006/main" ref="A31:C36" displayName="tebela_tempo_de_programação" name="tebela_tempo_de_programação" id="2">
  <tableColumns count="3">
    <tableColumn name="TABELA TEMPO DE PROGRAMACAO" id="1"/>
    <tableColumn name="quantidade de participantes" id="2"/>
    <tableColumn name="representação em porcentagem" id="3"/>
  </tableColumns>
  <tableStyleInfo name="estatisticas-style" showColumnStripes="0" showFirstColumn="1" showLastColumn="1" showRowStripes="1"/>
</table>
</file>

<file path=xl/tables/table2.xml><?xml version="1.0" encoding="utf-8"?>
<table xmlns="http://schemas.openxmlformats.org/spreadsheetml/2006/main" ref="A39:C43" displayName="Tabela_2" name="Tabela_2" id="3">
  <tableColumns count="3">
    <tableColumn name="TABELA EXPERIENCIA EM PYTHON" id="1"/>
    <tableColumn name="quantidade de alunos" id="2"/>
    <tableColumn name="quantidadade em porcentagem" id="3"/>
  </tableColumns>
  <tableStyleInfo name="estatisticas-style 2" showColumnStripes="0" showFirstColumn="1" showLastColumn="1" showRowStripes="1"/>
</table>
</file>

<file path=xl/tables/table3.xml><?xml version="1.0" encoding="utf-8"?>
<table xmlns="http://schemas.openxmlformats.org/spreadsheetml/2006/main" ref="A46:C51" displayName="Tabela_3" name="Tabela_3" id="4">
  <tableColumns count="3">
    <tableColumn name="TABELA FREQUENCIA QUE USA PYTHON" id="1"/>
    <tableColumn name="quantidade de alunos" id="2"/>
    <tableColumn name="quantidadade em porcentagem" id="3"/>
  </tableColumns>
  <tableStyleInfo name="estatisticas-style 3" showColumnStripes="0" showFirstColumn="1" showLastColumn="1" showRowStripes="1"/>
</table>
</file>

<file path=xl/tables/table4.xml><?xml version="1.0" encoding="utf-8"?>
<table xmlns="http://schemas.openxmlformats.org/spreadsheetml/2006/main" ref="A54:C56" displayName="Tabela_4" name="Tabela_4" id="5">
  <tableColumns count="3">
    <tableColumn name="TABELA CONHECE CLEAN CODE?" id="1"/>
    <tableColumn name="quantidade de alunos" id="2"/>
    <tableColumn name="quantidadade em porcentagem" id="3"/>
  </tableColumns>
  <tableStyleInfo name="estatisticas-style 4" showColumnStripes="0" showFirstColumn="1" showLastColumn="1" showRowStripes="1"/>
</table>
</file>

<file path=xl/tables/table5.xml><?xml version="1.0" encoding="utf-8"?>
<table xmlns="http://schemas.openxmlformats.org/spreadsheetml/2006/main" ref="A59:C63" displayName="Tabela_5" name="Tabela_5" id="6">
  <tableColumns count="3">
    <tableColumn name="TABELA NIVEL DE CLEAN CODE" id="1"/>
    <tableColumn name="quantidade de alunos" id="2"/>
    <tableColumn name="quantidadade em porcentagem" id="3"/>
  </tableColumns>
  <tableStyleInfo name="estatisticas-style 5" showColumnStripes="0" showFirstColumn="1" showLastColumn="1" showRowStripes="1"/>
</table>
</file>

<file path=xl/tables/table6.xml><?xml version="1.0" encoding="utf-8"?>
<table xmlns="http://schemas.openxmlformats.org/spreadsheetml/2006/main" ref="A76:C82" displayName="Tabela_6" name="Tabela_6" id="7">
  <tableColumns count="3">
    <tableColumn name="TABELA FONTES CLEAN CODE" id="1"/>
    <tableColumn name="quantidade de alunos" id="2"/>
    <tableColumn name="quantidadade em porcentagem" id="3"/>
  </tableColumns>
  <tableStyleInfo name="estatisticas-style 6" showColumnStripes="0" showFirstColumn="1" showLastColumn="1" showRowStripes="1"/>
</table>
</file>

<file path=xl/tables/table7.xml><?xml version="1.0" encoding="utf-8"?>
<table xmlns="http://schemas.openxmlformats.org/spreadsheetml/2006/main" ref="A1:K32" displayName="Tabela_1" name="Tabela_1" id="1">
  <tableColumns count="11">
    <tableColumn name="participante" id="1"/>
    <tableColumn name="idade" id="2"/>
    <tableColumn name="genero" id="3"/>
    <tableColumn name="periodo" id="4"/>
    <tableColumn name="quanto tempo você programa" id="5"/>
    <tableColumn name="nivel de experiência com python" id="6"/>
    <tableColumn name="frequência que usa python" id="7"/>
    <tableColumn name="conhece clean code" id="8"/>
    <tableColumn name="nivel em Clean Code" id="9"/>
    <tableColumn name="o que leu sobre Clean Code" id="10"/>
    <tableColumn name="importância da legibilidade no desenvolvimento" id="11"/>
  </tableColumns>
  <tableStyleInfo name="base de dado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drawing" Target="../drawings/drawing2.xml"/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7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36.0"/>
    <col customWidth="1" min="2" max="2" width="26.13"/>
    <col customWidth="1" min="3" max="3" width="32.38"/>
  </cols>
  <sheetData>
    <row r="2">
      <c r="A2" s="6" t="s">
        <v>40</v>
      </c>
    </row>
    <row r="3"/>
    <row r="4"/>
    <row r="5"/>
    <row r="10">
      <c r="A10" s="6" t="s">
        <v>42</v>
      </c>
    </row>
    <row r="11"/>
    <row r="12"/>
    <row r="13"/>
    <row r="14"/>
    <row r="15"/>
    <row r="16"/>
    <row r="17"/>
    <row r="18"/>
    <row r="23">
      <c r="A23" s="10" t="s">
        <v>45</v>
      </c>
    </row>
    <row r="24">
      <c r="A24" s="11"/>
      <c r="B24" s="12"/>
    </row>
    <row r="25">
      <c r="A25" s="13" t="s">
        <v>46</v>
      </c>
      <c r="B25" s="14">
        <f>MEDIAN(Tabela_1[idade])</f>
        <v>22</v>
      </c>
    </row>
    <row r="26">
      <c r="A26" s="11" t="s">
        <v>47</v>
      </c>
      <c r="B26" s="12">
        <f>MEDIAN(Tabela_1[idade])</f>
        <v>22</v>
      </c>
    </row>
    <row r="27">
      <c r="A27" s="13" t="s">
        <v>48</v>
      </c>
      <c r="B27" s="14">
        <f>MIN(Tabela_1[idade])</f>
        <v>19</v>
      </c>
    </row>
    <row r="28">
      <c r="A28" s="11" t="s">
        <v>50</v>
      </c>
      <c r="B28" s="12">
        <f>MAX(Tabela_1[idade])</f>
        <v>43</v>
      </c>
    </row>
    <row r="31" ht="22.5" customHeight="1">
      <c r="A31" s="15" t="s">
        <v>51</v>
      </c>
      <c r="B31" s="15" t="s">
        <v>52</v>
      </c>
      <c r="C31" s="15" t="s">
        <v>53</v>
      </c>
    </row>
    <row r="32" ht="22.5" customHeight="1">
      <c r="A32" s="16" t="s">
        <v>54</v>
      </c>
      <c r="B32" s="17">
        <f>COUNTIF(Tabela_1[quanto tempo você programa],#REF!)</f>
        <v>0</v>
      </c>
      <c r="C32" s="18">
        <f t="shared" ref="C32:C36" si="1">B32/SUM($B$32:$B$36)</f>
        <v>0</v>
      </c>
    </row>
    <row r="33" ht="22.5" customHeight="1">
      <c r="A33" s="16" t="s">
        <v>55</v>
      </c>
      <c r="B33" s="17">
        <f>COUNTIF(Tabela_1[quanto tempo você programa],A32)</f>
        <v>0</v>
      </c>
      <c r="C33" s="18">
        <f t="shared" si="1"/>
        <v>0</v>
      </c>
    </row>
    <row r="34" ht="22.5" customHeight="1">
      <c r="A34" s="16" t="s">
        <v>25</v>
      </c>
      <c r="B34" s="17">
        <f>COUNTIF(Tabela_1[quanto tempo você programa],A33)</f>
        <v>0</v>
      </c>
      <c r="C34" s="18">
        <f t="shared" si="1"/>
        <v>0</v>
      </c>
    </row>
    <row r="35" ht="22.5" customHeight="1">
      <c r="A35" s="16" t="s">
        <v>12</v>
      </c>
      <c r="B35" s="17">
        <f>COUNTIF(Tabela_1[quanto tempo você programa],A34)</f>
        <v>7</v>
      </c>
      <c r="C35" s="18">
        <f t="shared" si="1"/>
        <v>0.2692307692</v>
      </c>
    </row>
    <row r="36" ht="22.5" customHeight="1">
      <c r="A36" s="16" t="s">
        <v>18</v>
      </c>
      <c r="B36" s="17">
        <f>COUNTIF(Tabela_1[quanto tempo você programa],A35)</f>
        <v>19</v>
      </c>
      <c r="C36" s="18">
        <f t="shared" si="1"/>
        <v>0.7307692308</v>
      </c>
    </row>
    <row r="39" ht="22.5" customHeight="1">
      <c r="A39" s="15" t="s">
        <v>57</v>
      </c>
      <c r="B39" s="15" t="s">
        <v>58</v>
      </c>
      <c r="C39" s="19" t="s">
        <v>59</v>
      </c>
    </row>
    <row r="40" ht="22.5" customHeight="1">
      <c r="A40" s="16" t="s">
        <v>31</v>
      </c>
      <c r="B40" s="17">
        <f>COUNTIF(Tabela_1[nivel de experiência com python],A40)</f>
        <v>0</v>
      </c>
      <c r="C40" s="18">
        <f t="shared" ref="C40:C43" si="2">B40/SUM($B$40:$B$43)</f>
        <v>0</v>
      </c>
    </row>
    <row r="41" ht="22.5" customHeight="1">
      <c r="A41" s="16" t="s">
        <v>13</v>
      </c>
      <c r="B41" s="17">
        <f>COUNTIF(Tabela_1[nivel de experiência com python],A41)</f>
        <v>20</v>
      </c>
      <c r="C41" s="18">
        <f t="shared" si="2"/>
        <v>0.6451612903</v>
      </c>
    </row>
    <row r="42" ht="22.5" customHeight="1">
      <c r="A42" s="16" t="s">
        <v>22</v>
      </c>
      <c r="B42" s="17">
        <f>COUNTIF(Tabela_1[nivel de experiência com python],A42)</f>
        <v>10</v>
      </c>
      <c r="C42" s="18">
        <f t="shared" si="2"/>
        <v>0.3225806452</v>
      </c>
    </row>
    <row r="43" ht="22.5" customHeight="1">
      <c r="A43" s="16" t="s">
        <v>37</v>
      </c>
      <c r="B43" s="17">
        <f>COUNTIF(Tabela_1[nivel de experiência com python],A43)</f>
        <v>1</v>
      </c>
      <c r="C43" s="18">
        <f t="shared" si="2"/>
        <v>0.03225806452</v>
      </c>
    </row>
    <row r="46" ht="22.5" customHeight="1">
      <c r="A46" s="15" t="s">
        <v>60</v>
      </c>
      <c r="B46" s="15" t="s">
        <v>58</v>
      </c>
      <c r="C46" s="19" t="s">
        <v>59</v>
      </c>
    </row>
    <row r="47" ht="22.5" customHeight="1">
      <c r="A47" s="16" t="s">
        <v>29</v>
      </c>
      <c r="B47" s="17">
        <f>COUNTIF(Tabela_1[frequência que usa python],A47)</f>
        <v>2</v>
      </c>
      <c r="C47" s="18">
        <f t="shared" ref="C47:C51" si="3">B47/SUM($B$47:$B$51)</f>
        <v>0.06451612903</v>
      </c>
    </row>
    <row r="48" ht="22.5" customHeight="1">
      <c r="A48" s="16" t="s">
        <v>19</v>
      </c>
      <c r="B48" s="17">
        <f>COUNTIF(Tabela_1[frequência que usa python],A48)</f>
        <v>17</v>
      </c>
      <c r="C48" s="18">
        <f t="shared" si="3"/>
        <v>0.5483870968</v>
      </c>
    </row>
    <row r="49" ht="22.5" customHeight="1">
      <c r="A49" s="16" t="s">
        <v>14</v>
      </c>
      <c r="B49" s="17">
        <f>COUNTIF(Tabela_1[frequência que usa python],A49)</f>
        <v>8</v>
      </c>
      <c r="C49" s="18">
        <f t="shared" si="3"/>
        <v>0.2580645161</v>
      </c>
    </row>
    <row r="50" ht="22.5" customHeight="1">
      <c r="A50" s="16" t="s">
        <v>26</v>
      </c>
      <c r="B50" s="17">
        <f>COUNTIF(Tabela_1[frequência que usa python],A50)</f>
        <v>4</v>
      </c>
      <c r="C50" s="18">
        <f t="shared" si="3"/>
        <v>0.1290322581</v>
      </c>
    </row>
    <row r="51" ht="22.5" customHeight="1">
      <c r="A51" s="16" t="s">
        <v>61</v>
      </c>
      <c r="B51" s="17">
        <f>COUNTIF(Tabela_1[frequência que usa python],A51)</f>
        <v>0</v>
      </c>
      <c r="C51" s="18">
        <f t="shared" si="3"/>
        <v>0</v>
      </c>
    </row>
    <row r="54" ht="22.5" customHeight="1">
      <c r="A54" s="15" t="s">
        <v>62</v>
      </c>
      <c r="B54" s="15" t="s">
        <v>58</v>
      </c>
      <c r="C54" s="19" t="s">
        <v>59</v>
      </c>
    </row>
    <row r="55" ht="22.5" customHeight="1">
      <c r="A55" s="16" t="s">
        <v>15</v>
      </c>
      <c r="B55" s="17">
        <f>COUNTIF(Tabela_1[conhece clean code],A55)</f>
        <v>29</v>
      </c>
      <c r="C55" s="18">
        <f t="shared" ref="C55:C56" si="4">B55/SUM($B$55:$B$56)</f>
        <v>0.935483871</v>
      </c>
    </row>
    <row r="56" ht="22.5" customHeight="1">
      <c r="A56" s="16" t="s">
        <v>30</v>
      </c>
      <c r="B56" s="17">
        <f>COUNTIF(Tabela_1[conhece clean code],A56)</f>
        <v>2</v>
      </c>
      <c r="C56" s="18">
        <f t="shared" si="4"/>
        <v>0.06451612903</v>
      </c>
    </row>
    <row r="59" ht="22.5" customHeight="1">
      <c r="A59" s="20" t="s">
        <v>63</v>
      </c>
      <c r="B59" s="20" t="s">
        <v>58</v>
      </c>
      <c r="C59" s="21" t="s">
        <v>59</v>
      </c>
    </row>
    <row r="60" ht="22.5" customHeight="1">
      <c r="A60" s="22" t="s">
        <v>31</v>
      </c>
      <c r="B60" s="23">
        <f>COUNTIF(Tabela_1[nivel em Clean Code],A60)</f>
        <v>1</v>
      </c>
      <c r="C60" s="24">
        <f t="shared" ref="C60:C63" si="5">B60/SUM($B$60:$B$63)</f>
        <v>0.03225806452</v>
      </c>
    </row>
    <row r="61" ht="22.5" customHeight="1">
      <c r="A61" s="22" t="s">
        <v>13</v>
      </c>
      <c r="B61" s="23">
        <f>COUNTIF(Tabela_1[nivel em Clean Code],A61)</f>
        <v>15</v>
      </c>
      <c r="C61" s="24">
        <f t="shared" si="5"/>
        <v>0.4838709677</v>
      </c>
    </row>
    <row r="62" ht="22.5" customHeight="1">
      <c r="A62" s="22" t="s">
        <v>22</v>
      </c>
      <c r="B62" s="23">
        <f>COUNTIF(Tabela_1[nivel em Clean Code],A62)</f>
        <v>15</v>
      </c>
      <c r="C62" s="24">
        <f t="shared" si="5"/>
        <v>0.4838709677</v>
      </c>
    </row>
    <row r="63" ht="22.5" customHeight="1">
      <c r="A63" s="22" t="s">
        <v>37</v>
      </c>
      <c r="B63" s="23">
        <f>COUNTIF(Tabela_1[nivel em Clean Code],A63)</f>
        <v>0</v>
      </c>
      <c r="C63" s="24">
        <f t="shared" si="5"/>
        <v>0</v>
      </c>
    </row>
    <row r="66">
      <c r="A66" s="10" t="s">
        <v>64</v>
      </c>
      <c r="B66" s="25"/>
      <c r="C66" s="25"/>
      <c r="D66" s="25"/>
    </row>
    <row r="67">
      <c r="A67" s="12"/>
      <c r="B67" s="12"/>
      <c r="C67" s="12"/>
      <c r="D67" s="12"/>
    </row>
    <row r="68">
      <c r="A68" s="13" t="s">
        <v>65</v>
      </c>
      <c r="C68" s="14">
        <f>COUNTIF(Tabela_1[importância da legibilidade no desenvolvimento],A68)</f>
        <v>0</v>
      </c>
      <c r="D68" s="26">
        <f t="shared" ref="D68:D70" si="6">C68/SUM($C$68:$C$70)</f>
        <v>0</v>
      </c>
    </row>
    <row r="69">
      <c r="A69" s="11" t="s">
        <v>32</v>
      </c>
      <c r="B69" s="12"/>
      <c r="C69" s="12">
        <f>COUNTIF(Tabela_1[importância da legibilidade no desenvolvimento],A69)</f>
        <v>1</v>
      </c>
      <c r="D69" s="27">
        <f t="shared" si="6"/>
        <v>0.03225806452</v>
      </c>
    </row>
    <row r="70">
      <c r="A70" s="13" t="s">
        <v>17</v>
      </c>
      <c r="B70" s="14"/>
      <c r="C70" s="14">
        <f>COUNTIF(Tabela_1[importância da legibilidade no desenvolvimento],A70)</f>
        <v>30</v>
      </c>
      <c r="D70" s="26">
        <f t="shared" si="6"/>
        <v>0.9677419355</v>
      </c>
    </row>
    <row r="76" ht="22.5" customHeight="1">
      <c r="A76" s="15" t="s">
        <v>66</v>
      </c>
      <c r="B76" s="19" t="s">
        <v>58</v>
      </c>
      <c r="C76" s="19" t="s">
        <v>59</v>
      </c>
    </row>
    <row r="77" ht="22.5" customHeight="1">
      <c r="A77" s="16" t="s">
        <v>33</v>
      </c>
      <c r="B77" s="17">
        <f>COUNTIF(Tabela_1[o que leu sobre Clean Code],A77)</f>
        <v>5</v>
      </c>
      <c r="C77" s="18">
        <f t="shared" ref="C77:C82" si="7">B77/SUM($B$77:$B$82)</f>
        <v>0.2272727273</v>
      </c>
    </row>
    <row r="78" ht="22.5" customHeight="1">
      <c r="A78" s="16" t="s">
        <v>34</v>
      </c>
      <c r="B78" s="17">
        <f>COUNTIF(Tabela_1[o que leu sobre Clean Code],A78)</f>
        <v>3</v>
      </c>
      <c r="C78" s="18">
        <f t="shared" si="7"/>
        <v>0.1363636364</v>
      </c>
    </row>
    <row r="79" ht="22.5" customHeight="1">
      <c r="A79" s="16" t="s">
        <v>49</v>
      </c>
      <c r="B79" s="17">
        <f>COUNTIF(Tabela_1[o que leu sobre Clean Code],A79)</f>
        <v>3</v>
      </c>
      <c r="C79" s="18">
        <f t="shared" si="7"/>
        <v>0.1363636364</v>
      </c>
    </row>
    <row r="80" ht="22.5" customHeight="1">
      <c r="A80" s="16" t="s">
        <v>35</v>
      </c>
      <c r="B80" s="17">
        <f>COUNTIF(Tabela_1[o que leu sobre Clean Code],A80)</f>
        <v>6</v>
      </c>
      <c r="C80" s="18">
        <f t="shared" si="7"/>
        <v>0.2727272727</v>
      </c>
    </row>
    <row r="81" ht="22.5" customHeight="1">
      <c r="A81" s="16" t="s">
        <v>43</v>
      </c>
      <c r="B81" s="17">
        <f>COUNTIF(Tabela_1[o que leu sobre Clean Code],A81)</f>
        <v>1</v>
      </c>
      <c r="C81" s="18">
        <f t="shared" si="7"/>
        <v>0.04545454545</v>
      </c>
    </row>
    <row r="82" ht="22.5" customHeight="1">
      <c r="A82" s="16" t="s">
        <v>30</v>
      </c>
      <c r="B82" s="17">
        <f>COUNTIF(Tabela_1[o que leu sobre Clean Code],A82)</f>
        <v>4</v>
      </c>
      <c r="C82" s="18">
        <f t="shared" si="7"/>
        <v>0.1818181818</v>
      </c>
    </row>
  </sheetData>
  <mergeCells count="4">
    <mergeCell ref="A2:B2"/>
    <mergeCell ref="A10:C10"/>
    <mergeCell ref="A23:B23"/>
    <mergeCell ref="A68:B68"/>
  </mergeCells>
  <dataValidations>
    <dataValidation type="custom" allowBlank="1" showDropDown="1" sqref="C32:C36 C40:C43 C47:C51 C55:C56 C60:C63 C77:C82">
      <formula1>AND(ISNUMBER(C32),(NOT(OR(NOT(ISERROR(DATEVALUE(C32))), AND(ISNUMBER(C32), LEFT(CELL("format", C32))="D")))))</formula1>
    </dataValidation>
  </dataValidations>
  <drawing r:id="rId3"/>
  <tableParts count="6">
    <tablePart r:id="rId10"/>
    <tablePart r:id="rId11"/>
    <tablePart r:id="rId12"/>
    <tablePart r:id="rId13"/>
    <tablePart r:id="rId14"/>
    <tablePart r:id="rId1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4.13"/>
    <col customWidth="1" min="5" max="5" width="27.25"/>
    <col customWidth="1" min="6" max="6" width="29.25"/>
    <col customWidth="1" min="7" max="7" width="25.13"/>
    <col customWidth="1" min="8" max="8" width="20.38"/>
    <col customWidth="1" min="9" max="9" width="21.0"/>
    <col customWidth="1" min="10" max="11" width="37.63"/>
  </cols>
  <sheetData>
    <row r="1" ht="22.5" customHeight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</row>
    <row r="2" ht="22.5" customHeight="1">
      <c r="A2" s="4">
        <v>1.0</v>
      </c>
      <c r="B2" s="4">
        <v>22.0</v>
      </c>
      <c r="C2" s="5" t="s">
        <v>11</v>
      </c>
      <c r="D2" s="4">
        <v>8.0</v>
      </c>
      <c r="E2" s="5" t="s">
        <v>12</v>
      </c>
      <c r="F2" s="5" t="s">
        <v>13</v>
      </c>
      <c r="G2" s="5" t="s">
        <v>14</v>
      </c>
      <c r="H2" s="5" t="s">
        <v>15</v>
      </c>
      <c r="I2" s="5" t="s">
        <v>13</v>
      </c>
      <c r="J2" s="5" t="s">
        <v>20</v>
      </c>
      <c r="K2" s="5" t="s">
        <v>17</v>
      </c>
    </row>
    <row r="3" ht="22.5" customHeight="1">
      <c r="A3" s="4">
        <v>2.0</v>
      </c>
      <c r="B3" s="4">
        <v>25.0</v>
      </c>
      <c r="C3" s="5" t="s">
        <v>11</v>
      </c>
      <c r="D3" s="4">
        <v>8.0</v>
      </c>
      <c r="E3" s="5" t="s">
        <v>18</v>
      </c>
      <c r="F3" s="5" t="s">
        <v>13</v>
      </c>
      <c r="G3" s="5" t="s">
        <v>19</v>
      </c>
      <c r="H3" s="5" t="s">
        <v>15</v>
      </c>
      <c r="I3" s="5" t="s">
        <v>13</v>
      </c>
      <c r="J3" s="5" t="s">
        <v>20</v>
      </c>
      <c r="K3" s="5" t="s">
        <v>17</v>
      </c>
    </row>
    <row r="4" ht="22.5" customHeight="1">
      <c r="A4" s="4">
        <v>3.0</v>
      </c>
      <c r="B4" s="4">
        <v>22.0</v>
      </c>
      <c r="C4" s="5" t="s">
        <v>21</v>
      </c>
      <c r="D4" s="4">
        <v>9.0</v>
      </c>
      <c r="E4" s="5" t="s">
        <v>12</v>
      </c>
      <c r="F4" s="5" t="s">
        <v>13</v>
      </c>
      <c r="G4" s="5" t="s">
        <v>19</v>
      </c>
      <c r="H4" s="5" t="s">
        <v>15</v>
      </c>
      <c r="I4" s="5" t="s">
        <v>22</v>
      </c>
      <c r="J4" s="5" t="s">
        <v>23</v>
      </c>
      <c r="K4" s="5" t="s">
        <v>17</v>
      </c>
    </row>
    <row r="5" ht="22.5" customHeight="1">
      <c r="A5" s="4">
        <v>4.0</v>
      </c>
      <c r="B5" s="4">
        <v>22.0</v>
      </c>
      <c r="C5" s="5" t="s">
        <v>21</v>
      </c>
      <c r="D5" s="4">
        <v>9.0</v>
      </c>
      <c r="E5" s="5" t="s">
        <v>18</v>
      </c>
      <c r="F5" s="5" t="s">
        <v>13</v>
      </c>
      <c r="G5" s="5" t="s">
        <v>19</v>
      </c>
      <c r="H5" s="5" t="s">
        <v>15</v>
      </c>
      <c r="I5" s="5" t="s">
        <v>22</v>
      </c>
      <c r="J5" s="5" t="s">
        <v>24</v>
      </c>
      <c r="K5" s="5" t="s">
        <v>17</v>
      </c>
    </row>
    <row r="6" ht="22.5" customHeight="1">
      <c r="A6" s="4">
        <v>5.0</v>
      </c>
      <c r="B6" s="4">
        <v>20.0</v>
      </c>
      <c r="C6" s="5" t="s">
        <v>21</v>
      </c>
      <c r="D6" s="4">
        <v>3.0</v>
      </c>
      <c r="E6" s="5" t="s">
        <v>25</v>
      </c>
      <c r="F6" s="5" t="s">
        <v>22</v>
      </c>
      <c r="G6" s="5" t="s">
        <v>26</v>
      </c>
      <c r="H6" s="5" t="s">
        <v>15</v>
      </c>
      <c r="I6" s="5" t="s">
        <v>22</v>
      </c>
      <c r="J6" s="5" t="s">
        <v>23</v>
      </c>
      <c r="K6" s="5" t="s">
        <v>17</v>
      </c>
    </row>
    <row r="7" ht="22.5" customHeight="1">
      <c r="A7" s="4">
        <v>6.0</v>
      </c>
      <c r="B7" s="4">
        <v>23.0</v>
      </c>
      <c r="C7" s="5" t="s">
        <v>11</v>
      </c>
      <c r="D7" s="4">
        <v>8.0</v>
      </c>
      <c r="E7" s="5" t="s">
        <v>12</v>
      </c>
      <c r="F7" s="5" t="s">
        <v>22</v>
      </c>
      <c r="G7" s="5" t="s">
        <v>19</v>
      </c>
      <c r="H7" s="5" t="s">
        <v>15</v>
      </c>
      <c r="I7" s="5" t="s">
        <v>13</v>
      </c>
      <c r="J7" s="5" t="s">
        <v>27</v>
      </c>
      <c r="K7" s="5" t="s">
        <v>17</v>
      </c>
    </row>
    <row r="8" ht="22.5" customHeight="1">
      <c r="A8" s="4">
        <v>7.0</v>
      </c>
      <c r="B8" s="4">
        <v>43.0</v>
      </c>
      <c r="C8" s="5" t="s">
        <v>21</v>
      </c>
      <c r="D8" s="4">
        <v>9.0</v>
      </c>
      <c r="E8" s="5" t="s">
        <v>12</v>
      </c>
      <c r="F8" s="5" t="s">
        <v>13</v>
      </c>
      <c r="G8" s="5" t="s">
        <v>19</v>
      </c>
      <c r="H8" s="5" t="s">
        <v>15</v>
      </c>
      <c r="I8" s="5" t="s">
        <v>22</v>
      </c>
      <c r="J8" s="5" t="s">
        <v>28</v>
      </c>
      <c r="K8" s="5" t="s">
        <v>17</v>
      </c>
    </row>
    <row r="9" ht="22.5" customHeight="1">
      <c r="A9" s="4">
        <v>8.0</v>
      </c>
      <c r="B9" s="4">
        <v>19.0</v>
      </c>
      <c r="C9" s="5" t="s">
        <v>11</v>
      </c>
      <c r="D9" s="4">
        <v>4.0</v>
      </c>
      <c r="E9" s="5" t="s">
        <v>25</v>
      </c>
      <c r="F9" s="5" t="s">
        <v>13</v>
      </c>
      <c r="G9" s="5" t="s">
        <v>29</v>
      </c>
      <c r="H9" s="5" t="s">
        <v>30</v>
      </c>
      <c r="I9" s="5" t="s">
        <v>31</v>
      </c>
      <c r="J9" s="5" t="s">
        <v>30</v>
      </c>
      <c r="K9" s="5" t="s">
        <v>32</v>
      </c>
    </row>
    <row r="10" ht="22.5" customHeight="1">
      <c r="A10" s="4">
        <v>9.0</v>
      </c>
      <c r="B10" s="4">
        <v>29.0</v>
      </c>
      <c r="C10" s="5" t="s">
        <v>21</v>
      </c>
      <c r="D10" s="4">
        <v>9.0</v>
      </c>
      <c r="E10" s="5" t="s">
        <v>12</v>
      </c>
      <c r="F10" s="5" t="s">
        <v>22</v>
      </c>
      <c r="G10" s="5" t="s">
        <v>14</v>
      </c>
      <c r="H10" s="5" t="s">
        <v>30</v>
      </c>
      <c r="I10" s="5" t="s">
        <v>13</v>
      </c>
      <c r="J10" s="5" t="s">
        <v>33</v>
      </c>
      <c r="K10" s="5" t="s">
        <v>17</v>
      </c>
    </row>
    <row r="11" ht="22.5" customHeight="1">
      <c r="A11" s="4">
        <v>10.0</v>
      </c>
      <c r="B11" s="4">
        <v>23.0</v>
      </c>
      <c r="C11" s="5" t="s">
        <v>21</v>
      </c>
      <c r="D11" s="4">
        <v>6.0</v>
      </c>
      <c r="E11" s="5" t="s">
        <v>12</v>
      </c>
      <c r="F11" s="5" t="s">
        <v>13</v>
      </c>
      <c r="G11" s="5" t="s">
        <v>19</v>
      </c>
      <c r="H11" s="5" t="s">
        <v>15</v>
      </c>
      <c r="I11" s="5" t="s">
        <v>22</v>
      </c>
      <c r="J11" s="5" t="s">
        <v>34</v>
      </c>
      <c r="K11" s="5" t="s">
        <v>17</v>
      </c>
    </row>
    <row r="12" ht="22.5" customHeight="1">
      <c r="A12" s="4">
        <v>11.0</v>
      </c>
      <c r="B12" s="4">
        <v>32.0</v>
      </c>
      <c r="C12" s="5" t="s">
        <v>21</v>
      </c>
      <c r="D12" s="4">
        <v>9.0</v>
      </c>
      <c r="E12" s="5" t="s">
        <v>12</v>
      </c>
      <c r="F12" s="5" t="s">
        <v>13</v>
      </c>
      <c r="G12" s="5" t="s">
        <v>19</v>
      </c>
      <c r="H12" s="5" t="s">
        <v>15</v>
      </c>
      <c r="I12" s="5" t="s">
        <v>13</v>
      </c>
      <c r="J12" s="5" t="s">
        <v>35</v>
      </c>
      <c r="K12" s="5" t="s">
        <v>17</v>
      </c>
    </row>
    <row r="13" ht="22.5" customHeight="1">
      <c r="A13" s="4">
        <v>12.0</v>
      </c>
      <c r="B13" s="4">
        <v>22.0</v>
      </c>
      <c r="C13" s="5" t="s">
        <v>21</v>
      </c>
      <c r="D13" s="4">
        <v>9.0</v>
      </c>
      <c r="E13" s="5" t="s">
        <v>12</v>
      </c>
      <c r="F13" s="5" t="s">
        <v>22</v>
      </c>
      <c r="G13" s="5" t="s">
        <v>26</v>
      </c>
      <c r="H13" s="5" t="s">
        <v>15</v>
      </c>
      <c r="I13" s="5" t="s">
        <v>22</v>
      </c>
      <c r="J13" s="9" t="s">
        <v>43</v>
      </c>
      <c r="K13" s="5" t="s">
        <v>17</v>
      </c>
    </row>
    <row r="14" ht="22.5" customHeight="1">
      <c r="A14" s="4">
        <v>13.0</v>
      </c>
      <c r="B14" s="4">
        <v>22.0</v>
      </c>
      <c r="C14" s="5" t="s">
        <v>11</v>
      </c>
      <c r="D14" s="4">
        <v>9.0</v>
      </c>
      <c r="E14" s="5" t="s">
        <v>12</v>
      </c>
      <c r="F14" s="5" t="s">
        <v>37</v>
      </c>
      <c r="G14" s="5" t="s">
        <v>26</v>
      </c>
      <c r="H14" s="5" t="s">
        <v>15</v>
      </c>
      <c r="I14" s="5" t="s">
        <v>13</v>
      </c>
      <c r="J14" s="5" t="s">
        <v>33</v>
      </c>
      <c r="K14" s="5" t="s">
        <v>17</v>
      </c>
    </row>
    <row r="15" ht="22.5" customHeight="1">
      <c r="A15" s="4">
        <v>14.0</v>
      </c>
      <c r="B15" s="4">
        <v>22.0</v>
      </c>
      <c r="C15" s="5" t="s">
        <v>21</v>
      </c>
      <c r="D15" s="4">
        <v>9.0</v>
      </c>
      <c r="E15" s="5" t="s">
        <v>12</v>
      </c>
      <c r="F15" s="5" t="s">
        <v>22</v>
      </c>
      <c r="G15" s="5" t="s">
        <v>19</v>
      </c>
      <c r="H15" s="5" t="s">
        <v>15</v>
      </c>
      <c r="I15" s="5" t="s">
        <v>13</v>
      </c>
      <c r="J15" s="5" t="s">
        <v>33</v>
      </c>
      <c r="K15" s="5" t="s">
        <v>17</v>
      </c>
    </row>
    <row r="16" ht="22.5" customHeight="1">
      <c r="A16" s="4">
        <v>15.0</v>
      </c>
      <c r="B16" s="4">
        <v>24.0</v>
      </c>
      <c r="C16" s="5" t="s">
        <v>21</v>
      </c>
      <c r="D16" s="4">
        <v>7.0</v>
      </c>
      <c r="E16" s="5" t="s">
        <v>25</v>
      </c>
      <c r="F16" s="5" t="s">
        <v>13</v>
      </c>
      <c r="G16" s="5" t="s">
        <v>19</v>
      </c>
      <c r="H16" s="5" t="s">
        <v>15</v>
      </c>
      <c r="I16" s="5" t="s">
        <v>13</v>
      </c>
      <c r="J16" s="5" t="s">
        <v>35</v>
      </c>
      <c r="K16" s="5" t="s">
        <v>17</v>
      </c>
    </row>
    <row r="17" ht="22.5" customHeight="1">
      <c r="A17" s="4">
        <v>16.0</v>
      </c>
      <c r="B17" s="4">
        <v>27.0</v>
      </c>
      <c r="C17" s="5" t="s">
        <v>21</v>
      </c>
      <c r="D17" s="4">
        <v>7.0</v>
      </c>
      <c r="E17" s="5" t="s">
        <v>18</v>
      </c>
      <c r="F17" s="5" t="s">
        <v>13</v>
      </c>
      <c r="G17" s="5" t="s">
        <v>19</v>
      </c>
      <c r="H17" s="5" t="s">
        <v>15</v>
      </c>
      <c r="I17" s="5" t="s">
        <v>13</v>
      </c>
      <c r="J17" s="5" t="s">
        <v>33</v>
      </c>
      <c r="K17" s="5" t="s">
        <v>17</v>
      </c>
    </row>
    <row r="18" ht="22.5" customHeight="1">
      <c r="A18" s="4">
        <v>17.0</v>
      </c>
      <c r="B18" s="4">
        <v>23.0</v>
      </c>
      <c r="C18" s="5" t="s">
        <v>21</v>
      </c>
      <c r="D18" s="4">
        <v>8.0</v>
      </c>
      <c r="E18" s="5" t="s">
        <v>12</v>
      </c>
      <c r="F18" s="5" t="s">
        <v>22</v>
      </c>
      <c r="G18" s="5" t="s">
        <v>26</v>
      </c>
      <c r="H18" s="5" t="s">
        <v>15</v>
      </c>
      <c r="I18" s="5" t="s">
        <v>22</v>
      </c>
      <c r="J18" s="9" t="s">
        <v>49</v>
      </c>
      <c r="K18" s="5" t="s">
        <v>17</v>
      </c>
    </row>
    <row r="19" ht="22.5" customHeight="1">
      <c r="A19" s="4">
        <v>18.0</v>
      </c>
      <c r="B19" s="4">
        <v>22.0</v>
      </c>
      <c r="C19" s="5" t="s">
        <v>21</v>
      </c>
      <c r="D19" s="4">
        <v>3.0</v>
      </c>
      <c r="E19" s="5" t="s">
        <v>25</v>
      </c>
      <c r="F19" s="5" t="s">
        <v>13</v>
      </c>
      <c r="G19" s="5" t="s">
        <v>19</v>
      </c>
      <c r="H19" s="5" t="s">
        <v>15</v>
      </c>
      <c r="I19" s="5" t="s">
        <v>13</v>
      </c>
      <c r="J19" s="9" t="s">
        <v>49</v>
      </c>
      <c r="K19" s="5" t="s">
        <v>17</v>
      </c>
    </row>
    <row r="20" ht="22.5" customHeight="1">
      <c r="A20" s="4">
        <v>19.0</v>
      </c>
      <c r="B20" s="4">
        <v>21.0</v>
      </c>
      <c r="C20" s="5" t="s">
        <v>21</v>
      </c>
      <c r="D20" s="4">
        <v>9.0</v>
      </c>
      <c r="E20" s="5" t="s">
        <v>25</v>
      </c>
      <c r="F20" s="5" t="s">
        <v>22</v>
      </c>
      <c r="G20" s="5" t="s">
        <v>14</v>
      </c>
      <c r="H20" s="5" t="s">
        <v>15</v>
      </c>
      <c r="I20" s="5" t="s">
        <v>13</v>
      </c>
      <c r="J20" s="5" t="s">
        <v>30</v>
      </c>
      <c r="K20" s="5" t="s">
        <v>17</v>
      </c>
    </row>
    <row r="21" ht="22.5" customHeight="1">
      <c r="A21" s="4">
        <v>20.0</v>
      </c>
      <c r="B21" s="4">
        <v>20.0</v>
      </c>
      <c r="C21" s="5" t="s">
        <v>11</v>
      </c>
      <c r="D21" s="4">
        <v>4.0</v>
      </c>
      <c r="E21" s="5" t="s">
        <v>25</v>
      </c>
      <c r="F21" s="5" t="s">
        <v>22</v>
      </c>
      <c r="G21" s="5" t="s">
        <v>14</v>
      </c>
      <c r="H21" s="5" t="s">
        <v>15</v>
      </c>
      <c r="I21" s="5" t="s">
        <v>22</v>
      </c>
      <c r="J21" s="5" t="s">
        <v>30</v>
      </c>
      <c r="K21" s="5" t="s">
        <v>17</v>
      </c>
    </row>
    <row r="22" ht="22.5" customHeight="1">
      <c r="A22" s="4">
        <v>21.0</v>
      </c>
      <c r="B22" s="4">
        <v>22.0</v>
      </c>
      <c r="C22" s="5" t="s">
        <v>11</v>
      </c>
      <c r="D22" s="4">
        <v>6.0</v>
      </c>
      <c r="E22" s="5" t="s">
        <v>12</v>
      </c>
      <c r="F22" s="5" t="s">
        <v>13</v>
      </c>
      <c r="G22" s="5" t="s">
        <v>29</v>
      </c>
      <c r="H22" s="5" t="s">
        <v>15</v>
      </c>
      <c r="I22" s="5" t="s">
        <v>13</v>
      </c>
      <c r="J22" s="5" t="s">
        <v>34</v>
      </c>
      <c r="K22" s="5" t="s">
        <v>17</v>
      </c>
    </row>
    <row r="23" ht="22.5" customHeight="1">
      <c r="A23" s="4">
        <v>22.0</v>
      </c>
      <c r="B23" s="4">
        <v>21.0</v>
      </c>
      <c r="C23" s="5" t="s">
        <v>21</v>
      </c>
      <c r="D23" s="4">
        <v>4.0</v>
      </c>
      <c r="E23" s="5" t="s">
        <v>12</v>
      </c>
      <c r="F23" s="5" t="s">
        <v>13</v>
      </c>
      <c r="G23" s="5" t="s">
        <v>19</v>
      </c>
      <c r="H23" s="5" t="s">
        <v>15</v>
      </c>
      <c r="I23" s="5" t="s">
        <v>13</v>
      </c>
      <c r="J23" s="5" t="s">
        <v>34</v>
      </c>
      <c r="K23" s="5" t="s">
        <v>17</v>
      </c>
    </row>
    <row r="24" ht="22.5" customHeight="1">
      <c r="A24" s="4">
        <v>23.0</v>
      </c>
      <c r="B24" s="4">
        <v>22.0</v>
      </c>
      <c r="C24" s="5" t="s">
        <v>21</v>
      </c>
      <c r="D24" s="4">
        <v>8.0</v>
      </c>
      <c r="E24" s="5" t="s">
        <v>12</v>
      </c>
      <c r="F24" s="5" t="s">
        <v>13</v>
      </c>
      <c r="G24" s="5" t="s">
        <v>19</v>
      </c>
      <c r="H24" s="5" t="s">
        <v>15</v>
      </c>
      <c r="I24" s="5" t="s">
        <v>13</v>
      </c>
      <c r="J24" s="5" t="s">
        <v>33</v>
      </c>
      <c r="K24" s="5" t="s">
        <v>17</v>
      </c>
    </row>
    <row r="25" ht="22.5" customHeight="1">
      <c r="A25" s="4">
        <v>24.0</v>
      </c>
      <c r="B25" s="4">
        <v>22.0</v>
      </c>
      <c r="C25" s="5" t="s">
        <v>21</v>
      </c>
      <c r="D25" s="4">
        <v>9.0</v>
      </c>
      <c r="E25" s="5" t="s">
        <v>18</v>
      </c>
      <c r="F25" s="5" t="s">
        <v>22</v>
      </c>
      <c r="G25" s="5" t="s">
        <v>14</v>
      </c>
      <c r="H25" s="5" t="s">
        <v>15</v>
      </c>
      <c r="I25" s="5" t="s">
        <v>22</v>
      </c>
      <c r="J25" s="9" t="s">
        <v>56</v>
      </c>
      <c r="K25" s="5" t="s">
        <v>17</v>
      </c>
    </row>
    <row r="26" ht="22.5" customHeight="1">
      <c r="A26" s="4">
        <v>25.0</v>
      </c>
      <c r="B26" s="4">
        <v>24.0</v>
      </c>
      <c r="C26" s="5" t="s">
        <v>21</v>
      </c>
      <c r="D26" s="4">
        <v>10.0</v>
      </c>
      <c r="E26" s="5" t="s">
        <v>18</v>
      </c>
      <c r="F26" s="5" t="s">
        <v>13</v>
      </c>
      <c r="G26" s="5" t="s">
        <v>19</v>
      </c>
      <c r="H26" s="5" t="s">
        <v>15</v>
      </c>
      <c r="I26" s="5" t="s">
        <v>22</v>
      </c>
      <c r="J26" s="5" t="s">
        <v>35</v>
      </c>
      <c r="K26" s="5" t="s">
        <v>17</v>
      </c>
    </row>
    <row r="27" ht="22.5" customHeight="1">
      <c r="A27" s="4">
        <v>26.0</v>
      </c>
      <c r="B27" s="4">
        <v>22.0</v>
      </c>
      <c r="C27" s="5" t="s">
        <v>21</v>
      </c>
      <c r="D27" s="4">
        <v>9.0</v>
      </c>
      <c r="E27" s="5" t="s">
        <v>12</v>
      </c>
      <c r="F27" s="5" t="s">
        <v>13</v>
      </c>
      <c r="G27" s="5" t="s">
        <v>14</v>
      </c>
      <c r="H27" s="5" t="s">
        <v>15</v>
      </c>
      <c r="I27" s="5" t="s">
        <v>22</v>
      </c>
      <c r="J27" s="5" t="s">
        <v>35</v>
      </c>
      <c r="K27" s="5" t="s">
        <v>17</v>
      </c>
    </row>
    <row r="28" ht="22.5" customHeight="1">
      <c r="A28" s="4">
        <v>27.0</v>
      </c>
      <c r="B28" s="4">
        <v>21.0</v>
      </c>
      <c r="C28" s="5" t="s">
        <v>11</v>
      </c>
      <c r="D28" s="4">
        <v>9.0</v>
      </c>
      <c r="E28" s="5" t="s">
        <v>12</v>
      </c>
      <c r="F28" s="5" t="s">
        <v>13</v>
      </c>
      <c r="G28" s="5" t="s">
        <v>14</v>
      </c>
      <c r="H28" s="5" t="s">
        <v>15</v>
      </c>
      <c r="I28" s="5" t="s">
        <v>13</v>
      </c>
      <c r="J28" s="5" t="s">
        <v>35</v>
      </c>
      <c r="K28" s="5" t="s">
        <v>17</v>
      </c>
    </row>
    <row r="29" ht="22.5" customHeight="1">
      <c r="A29" s="4">
        <v>28.0</v>
      </c>
      <c r="B29" s="4">
        <v>22.0</v>
      </c>
      <c r="C29" s="5" t="s">
        <v>21</v>
      </c>
      <c r="D29" s="4">
        <v>9.0</v>
      </c>
      <c r="E29" s="5" t="s">
        <v>12</v>
      </c>
      <c r="F29" s="5" t="s">
        <v>22</v>
      </c>
      <c r="G29" s="5" t="s">
        <v>19</v>
      </c>
      <c r="H29" s="5" t="s">
        <v>15</v>
      </c>
      <c r="I29" s="5" t="s">
        <v>22</v>
      </c>
      <c r="J29" s="5" t="s">
        <v>30</v>
      </c>
      <c r="K29" s="5" t="s">
        <v>17</v>
      </c>
    </row>
    <row r="30" ht="22.5" customHeight="1">
      <c r="A30" s="4">
        <v>29.0</v>
      </c>
      <c r="B30" s="4">
        <v>23.0</v>
      </c>
      <c r="C30" s="5" t="s">
        <v>21</v>
      </c>
      <c r="D30" s="4">
        <v>6.0</v>
      </c>
      <c r="E30" s="5" t="s">
        <v>12</v>
      </c>
      <c r="F30" s="5" t="s">
        <v>13</v>
      </c>
      <c r="G30" s="5" t="s">
        <v>19</v>
      </c>
      <c r="H30" s="5" t="s">
        <v>15</v>
      </c>
      <c r="I30" s="5" t="s">
        <v>22</v>
      </c>
      <c r="J30" s="5" t="s">
        <v>35</v>
      </c>
      <c r="K30" s="5" t="s">
        <v>17</v>
      </c>
    </row>
    <row r="31" ht="22.5" customHeight="1">
      <c r="A31" s="4">
        <v>30.0</v>
      </c>
      <c r="B31" s="4">
        <v>30.0</v>
      </c>
      <c r="C31" s="5" t="s">
        <v>21</v>
      </c>
      <c r="D31" s="4">
        <v>6.0</v>
      </c>
      <c r="E31" s="5" t="s">
        <v>12</v>
      </c>
      <c r="F31" s="5" t="s">
        <v>13</v>
      </c>
      <c r="G31" s="5" t="s">
        <v>19</v>
      </c>
      <c r="H31" s="5" t="s">
        <v>15</v>
      </c>
      <c r="I31" s="5" t="s">
        <v>22</v>
      </c>
      <c r="J31" s="9" t="s">
        <v>49</v>
      </c>
      <c r="K31" s="5" t="s">
        <v>17</v>
      </c>
    </row>
    <row r="32" ht="22.5" customHeight="1">
      <c r="A32" s="4">
        <v>31.0</v>
      </c>
      <c r="B32" s="4">
        <v>22.0</v>
      </c>
      <c r="C32" s="5" t="s">
        <v>21</v>
      </c>
      <c r="D32" s="4">
        <v>6.0</v>
      </c>
      <c r="E32" s="5" t="s">
        <v>25</v>
      </c>
      <c r="F32" s="5" t="s">
        <v>13</v>
      </c>
      <c r="G32" s="5" t="s">
        <v>14</v>
      </c>
      <c r="H32" s="5" t="s">
        <v>15</v>
      </c>
      <c r="I32" s="5" t="s">
        <v>22</v>
      </c>
      <c r="J32" s="5" t="s">
        <v>20</v>
      </c>
      <c r="K32" s="5" t="s">
        <v>17</v>
      </c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22.75"/>
    <col customWidth="1" min="6" max="6" width="24.75"/>
    <col customWidth="1" min="7" max="7" width="20.63"/>
    <col customWidth="1" min="8" max="8" width="15.88"/>
    <col customWidth="1" min="9" max="9" width="16.5"/>
    <col customWidth="1" min="10" max="10" width="21.75"/>
    <col customWidth="1" min="11" max="11" width="36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>
      <c r="A2" s="3">
        <v>1.0</v>
      </c>
      <c r="B2" s="3">
        <v>22.0</v>
      </c>
      <c r="C2" s="3" t="s">
        <v>11</v>
      </c>
      <c r="D2" s="3">
        <v>8.0</v>
      </c>
      <c r="E2" s="3" t="s">
        <v>12</v>
      </c>
      <c r="F2" s="3" t="s">
        <v>13</v>
      </c>
      <c r="G2" s="3" t="s">
        <v>14</v>
      </c>
      <c r="H2" s="3" t="s">
        <v>15</v>
      </c>
      <c r="I2" s="3" t="s">
        <v>13</v>
      </c>
      <c r="J2" s="3" t="s">
        <v>16</v>
      </c>
      <c r="K2" s="3" t="s">
        <v>17</v>
      </c>
    </row>
    <row r="3">
      <c r="A3" s="3">
        <v>2.0</v>
      </c>
      <c r="B3" s="3">
        <v>25.0</v>
      </c>
      <c r="C3" s="3" t="s">
        <v>11</v>
      </c>
      <c r="D3" s="3">
        <v>8.0</v>
      </c>
      <c r="E3" s="3" t="s">
        <v>18</v>
      </c>
      <c r="F3" s="3" t="s">
        <v>13</v>
      </c>
      <c r="G3" s="3" t="s">
        <v>19</v>
      </c>
      <c r="H3" s="3" t="s">
        <v>15</v>
      </c>
      <c r="I3" s="3" t="s">
        <v>13</v>
      </c>
      <c r="J3" s="3" t="s">
        <v>20</v>
      </c>
      <c r="K3" s="3" t="s">
        <v>17</v>
      </c>
    </row>
    <row r="4">
      <c r="A4" s="3">
        <v>3.0</v>
      </c>
      <c r="B4" s="3">
        <v>22.0</v>
      </c>
      <c r="C4" s="3" t="s">
        <v>21</v>
      </c>
      <c r="D4" s="3">
        <v>9.0</v>
      </c>
      <c r="E4" s="3" t="s">
        <v>12</v>
      </c>
      <c r="F4" s="3" t="s">
        <v>13</v>
      </c>
      <c r="G4" s="3" t="s">
        <v>19</v>
      </c>
      <c r="H4" s="3" t="s">
        <v>15</v>
      </c>
      <c r="I4" s="3" t="s">
        <v>22</v>
      </c>
      <c r="J4" s="3" t="s">
        <v>23</v>
      </c>
      <c r="K4" s="3" t="s">
        <v>17</v>
      </c>
    </row>
    <row r="5">
      <c r="A5" s="3">
        <v>4.0</v>
      </c>
      <c r="B5" s="3">
        <v>22.0</v>
      </c>
      <c r="C5" s="3" t="s">
        <v>21</v>
      </c>
      <c r="D5" s="3">
        <v>9.0</v>
      </c>
      <c r="E5" s="3" t="s">
        <v>18</v>
      </c>
      <c r="F5" s="3" t="s">
        <v>13</v>
      </c>
      <c r="G5" s="3" t="s">
        <v>19</v>
      </c>
      <c r="H5" s="3" t="s">
        <v>15</v>
      </c>
      <c r="I5" s="3" t="s">
        <v>22</v>
      </c>
      <c r="J5" s="3" t="s">
        <v>24</v>
      </c>
      <c r="K5" s="3" t="s">
        <v>17</v>
      </c>
    </row>
    <row r="6">
      <c r="A6" s="3">
        <v>5.0</v>
      </c>
      <c r="B6" s="3">
        <v>20.0</v>
      </c>
      <c r="C6" s="3" t="s">
        <v>21</v>
      </c>
      <c r="D6" s="3">
        <v>3.0</v>
      </c>
      <c r="E6" s="3" t="s">
        <v>25</v>
      </c>
      <c r="F6" s="3" t="s">
        <v>22</v>
      </c>
      <c r="G6" s="3" t="s">
        <v>26</v>
      </c>
      <c r="H6" s="3" t="s">
        <v>15</v>
      </c>
      <c r="I6" s="3" t="s">
        <v>22</v>
      </c>
      <c r="J6" s="3" t="s">
        <v>23</v>
      </c>
      <c r="K6" s="3" t="s">
        <v>17</v>
      </c>
    </row>
    <row r="7">
      <c r="A7" s="3">
        <v>6.0</v>
      </c>
      <c r="B7" s="3">
        <v>23.0</v>
      </c>
      <c r="C7" s="3" t="s">
        <v>11</v>
      </c>
      <c r="D7" s="3">
        <v>8.0</v>
      </c>
      <c r="E7" s="3" t="s">
        <v>12</v>
      </c>
      <c r="F7" s="3" t="s">
        <v>22</v>
      </c>
      <c r="G7" s="3" t="s">
        <v>19</v>
      </c>
      <c r="H7" s="3" t="s">
        <v>15</v>
      </c>
      <c r="I7" s="3" t="s">
        <v>13</v>
      </c>
      <c r="J7" s="3" t="s">
        <v>27</v>
      </c>
      <c r="K7" s="3" t="s">
        <v>17</v>
      </c>
    </row>
    <row r="8">
      <c r="A8" s="3">
        <v>7.0</v>
      </c>
      <c r="B8" s="3">
        <v>43.0</v>
      </c>
      <c r="C8" s="3" t="s">
        <v>21</v>
      </c>
      <c r="D8" s="3">
        <v>9.0</v>
      </c>
      <c r="E8" s="3" t="s">
        <v>12</v>
      </c>
      <c r="F8" s="3" t="s">
        <v>13</v>
      </c>
      <c r="G8" s="3" t="s">
        <v>19</v>
      </c>
      <c r="H8" s="3" t="s">
        <v>15</v>
      </c>
      <c r="I8" s="3" t="s">
        <v>22</v>
      </c>
      <c r="J8" s="3" t="s">
        <v>28</v>
      </c>
      <c r="K8" s="3" t="s">
        <v>17</v>
      </c>
    </row>
    <row r="9">
      <c r="A9" s="3">
        <v>8.0</v>
      </c>
      <c r="B9" s="3">
        <v>19.0</v>
      </c>
      <c r="C9" s="3" t="s">
        <v>11</v>
      </c>
      <c r="D9" s="3">
        <v>4.0</v>
      </c>
      <c r="E9" s="3" t="s">
        <v>25</v>
      </c>
      <c r="F9" s="3" t="s">
        <v>13</v>
      </c>
      <c r="G9" s="3" t="s">
        <v>29</v>
      </c>
      <c r="H9" s="3" t="s">
        <v>30</v>
      </c>
      <c r="I9" s="3" t="s">
        <v>31</v>
      </c>
      <c r="J9" s="3" t="s">
        <v>30</v>
      </c>
      <c r="K9" s="3" t="s">
        <v>32</v>
      </c>
    </row>
    <row r="10">
      <c r="A10" s="3">
        <v>9.0</v>
      </c>
      <c r="B10" s="3">
        <v>29.0</v>
      </c>
      <c r="C10" s="3" t="s">
        <v>21</v>
      </c>
      <c r="D10" s="3">
        <v>9.0</v>
      </c>
      <c r="E10" s="3" t="s">
        <v>12</v>
      </c>
      <c r="F10" s="3" t="s">
        <v>22</v>
      </c>
      <c r="G10" s="3" t="s">
        <v>14</v>
      </c>
      <c r="H10" s="3" t="s">
        <v>30</v>
      </c>
      <c r="I10" s="3" t="s">
        <v>13</v>
      </c>
      <c r="J10" s="3" t="s">
        <v>33</v>
      </c>
      <c r="K10" s="3" t="s">
        <v>17</v>
      </c>
    </row>
    <row r="11">
      <c r="A11" s="3">
        <v>10.0</v>
      </c>
      <c r="B11" s="3">
        <v>23.0</v>
      </c>
      <c r="C11" s="3" t="s">
        <v>21</v>
      </c>
      <c r="D11" s="3">
        <v>6.0</v>
      </c>
      <c r="E11" s="3" t="s">
        <v>12</v>
      </c>
      <c r="F11" s="3" t="s">
        <v>13</v>
      </c>
      <c r="G11" s="3" t="s">
        <v>19</v>
      </c>
      <c r="H11" s="3" t="s">
        <v>15</v>
      </c>
      <c r="I11" s="3" t="s">
        <v>22</v>
      </c>
      <c r="J11" s="3" t="s">
        <v>34</v>
      </c>
      <c r="K11" s="3" t="s">
        <v>17</v>
      </c>
    </row>
    <row r="12">
      <c r="A12" s="3">
        <v>11.0</v>
      </c>
      <c r="B12" s="3">
        <v>32.0</v>
      </c>
      <c r="C12" s="3" t="s">
        <v>21</v>
      </c>
      <c r="D12" s="3">
        <v>9.0</v>
      </c>
      <c r="E12" s="3" t="s">
        <v>12</v>
      </c>
      <c r="F12" s="3" t="s">
        <v>13</v>
      </c>
      <c r="G12" s="3" t="s">
        <v>19</v>
      </c>
      <c r="H12" s="3" t="s">
        <v>15</v>
      </c>
      <c r="I12" s="3" t="s">
        <v>13</v>
      </c>
      <c r="J12" s="3" t="s">
        <v>35</v>
      </c>
      <c r="K12" s="3" t="s">
        <v>17</v>
      </c>
    </row>
    <row r="13">
      <c r="A13" s="3">
        <v>12.0</v>
      </c>
      <c r="B13" s="3">
        <v>22.0</v>
      </c>
      <c r="C13" s="3" t="s">
        <v>21</v>
      </c>
      <c r="D13" s="3">
        <v>9.0</v>
      </c>
      <c r="E13" s="3" t="s">
        <v>12</v>
      </c>
      <c r="F13" s="3" t="s">
        <v>22</v>
      </c>
      <c r="G13" s="3" t="s">
        <v>26</v>
      </c>
      <c r="H13" s="3" t="s">
        <v>15</v>
      </c>
      <c r="I13" s="3" t="s">
        <v>22</v>
      </c>
      <c r="J13" s="3" t="s">
        <v>36</v>
      </c>
      <c r="K13" s="3" t="s">
        <v>17</v>
      </c>
    </row>
    <row r="14">
      <c r="A14" s="3">
        <v>13.0</v>
      </c>
      <c r="B14" s="3">
        <v>22.0</v>
      </c>
      <c r="C14" s="3" t="s">
        <v>11</v>
      </c>
      <c r="D14" s="3">
        <v>9.0</v>
      </c>
      <c r="E14" s="3" t="s">
        <v>12</v>
      </c>
      <c r="F14" s="3" t="s">
        <v>37</v>
      </c>
      <c r="G14" s="3" t="s">
        <v>26</v>
      </c>
      <c r="H14" s="3" t="s">
        <v>15</v>
      </c>
      <c r="I14" s="3" t="s">
        <v>13</v>
      </c>
      <c r="J14" s="3" t="s">
        <v>33</v>
      </c>
      <c r="K14" s="3" t="s">
        <v>17</v>
      </c>
    </row>
    <row r="15">
      <c r="A15" s="3">
        <v>14.0</v>
      </c>
      <c r="B15" s="3">
        <v>22.0</v>
      </c>
      <c r="C15" s="3" t="s">
        <v>21</v>
      </c>
      <c r="D15" s="3">
        <v>9.0</v>
      </c>
      <c r="E15" s="3" t="s">
        <v>12</v>
      </c>
      <c r="F15" s="3" t="s">
        <v>22</v>
      </c>
      <c r="G15" s="3" t="s">
        <v>19</v>
      </c>
      <c r="H15" s="3" t="s">
        <v>15</v>
      </c>
      <c r="I15" s="3" t="s">
        <v>13</v>
      </c>
      <c r="J15" s="3" t="s">
        <v>33</v>
      </c>
      <c r="K15" s="3" t="s">
        <v>17</v>
      </c>
    </row>
    <row r="16">
      <c r="A16" s="3">
        <v>15.0</v>
      </c>
      <c r="B16" s="3">
        <v>24.0</v>
      </c>
      <c r="C16" s="3" t="s">
        <v>21</v>
      </c>
      <c r="D16" s="3">
        <v>7.0</v>
      </c>
      <c r="E16" s="3" t="s">
        <v>25</v>
      </c>
      <c r="F16" s="3" t="s">
        <v>13</v>
      </c>
      <c r="G16" s="3" t="s">
        <v>19</v>
      </c>
      <c r="H16" s="3" t="s">
        <v>15</v>
      </c>
      <c r="I16" s="3" t="s">
        <v>13</v>
      </c>
      <c r="J16" s="3" t="s">
        <v>35</v>
      </c>
      <c r="K16" s="3" t="s">
        <v>17</v>
      </c>
    </row>
    <row r="17">
      <c r="A17" s="3">
        <v>16.0</v>
      </c>
      <c r="B17" s="3">
        <v>27.0</v>
      </c>
      <c r="C17" s="3" t="s">
        <v>21</v>
      </c>
      <c r="D17" s="3">
        <v>7.0</v>
      </c>
      <c r="E17" s="3" t="s">
        <v>18</v>
      </c>
      <c r="F17" s="3" t="s">
        <v>13</v>
      </c>
      <c r="G17" s="3" t="s">
        <v>19</v>
      </c>
      <c r="H17" s="3" t="s">
        <v>15</v>
      </c>
      <c r="I17" s="3" t="s">
        <v>13</v>
      </c>
      <c r="J17" s="3" t="s">
        <v>33</v>
      </c>
      <c r="K17" s="3" t="s">
        <v>17</v>
      </c>
    </row>
    <row r="18">
      <c r="A18" s="3">
        <v>17.0</v>
      </c>
      <c r="B18" s="3">
        <v>23.0</v>
      </c>
      <c r="C18" s="3" t="s">
        <v>21</v>
      </c>
      <c r="D18" s="3">
        <v>8.0</v>
      </c>
      <c r="E18" s="3" t="s">
        <v>12</v>
      </c>
      <c r="F18" s="3" t="s">
        <v>22</v>
      </c>
      <c r="G18" s="3" t="s">
        <v>26</v>
      </c>
      <c r="H18" s="3" t="s">
        <v>15</v>
      </c>
      <c r="I18" s="3" t="s">
        <v>22</v>
      </c>
      <c r="J18" s="3" t="s">
        <v>38</v>
      </c>
      <c r="K18" s="3" t="s">
        <v>17</v>
      </c>
    </row>
    <row r="19">
      <c r="A19" s="3">
        <v>18.0</v>
      </c>
      <c r="B19" s="3">
        <v>22.0</v>
      </c>
      <c r="C19" s="3" t="s">
        <v>21</v>
      </c>
      <c r="D19" s="3">
        <v>3.0</v>
      </c>
      <c r="E19" s="3" t="s">
        <v>25</v>
      </c>
      <c r="F19" s="3" t="s">
        <v>13</v>
      </c>
      <c r="G19" s="3" t="s">
        <v>19</v>
      </c>
      <c r="H19" s="3" t="s">
        <v>15</v>
      </c>
      <c r="I19" s="3" t="s">
        <v>13</v>
      </c>
      <c r="J19" s="3" t="s">
        <v>38</v>
      </c>
      <c r="K19" s="3" t="s">
        <v>17</v>
      </c>
    </row>
    <row r="20">
      <c r="A20" s="3">
        <v>19.0</v>
      </c>
      <c r="B20" s="3">
        <v>21.0</v>
      </c>
      <c r="C20" s="3" t="s">
        <v>21</v>
      </c>
      <c r="D20" s="3">
        <v>9.0</v>
      </c>
      <c r="E20" s="3" t="s">
        <v>25</v>
      </c>
      <c r="F20" s="3" t="s">
        <v>22</v>
      </c>
      <c r="G20" s="3" t="s">
        <v>14</v>
      </c>
      <c r="H20" s="3" t="s">
        <v>15</v>
      </c>
      <c r="I20" s="3" t="s">
        <v>13</v>
      </c>
      <c r="J20" s="3" t="s">
        <v>30</v>
      </c>
      <c r="K20" s="3" t="s">
        <v>17</v>
      </c>
    </row>
    <row r="21">
      <c r="A21" s="3">
        <v>20.0</v>
      </c>
      <c r="B21" s="3">
        <v>20.0</v>
      </c>
      <c r="C21" s="3" t="s">
        <v>11</v>
      </c>
      <c r="D21" s="3">
        <v>4.0</v>
      </c>
      <c r="E21" s="3" t="s">
        <v>25</v>
      </c>
      <c r="F21" s="3" t="s">
        <v>22</v>
      </c>
      <c r="G21" s="3" t="s">
        <v>14</v>
      </c>
      <c r="H21" s="3" t="s">
        <v>15</v>
      </c>
      <c r="I21" s="3" t="s">
        <v>22</v>
      </c>
      <c r="J21" s="3" t="s">
        <v>30</v>
      </c>
      <c r="K21" s="3" t="s">
        <v>17</v>
      </c>
    </row>
    <row r="22">
      <c r="A22" s="3">
        <v>21.0</v>
      </c>
      <c r="B22" s="3">
        <v>22.0</v>
      </c>
      <c r="C22" s="3" t="s">
        <v>11</v>
      </c>
      <c r="D22" s="3">
        <v>6.0</v>
      </c>
      <c r="E22" s="3" t="s">
        <v>12</v>
      </c>
      <c r="F22" s="3" t="s">
        <v>13</v>
      </c>
      <c r="G22" s="3" t="s">
        <v>29</v>
      </c>
      <c r="H22" s="3" t="s">
        <v>15</v>
      </c>
      <c r="I22" s="3" t="s">
        <v>13</v>
      </c>
      <c r="J22" s="3" t="s">
        <v>34</v>
      </c>
      <c r="K22" s="3" t="s">
        <v>17</v>
      </c>
    </row>
    <row r="23">
      <c r="A23" s="3">
        <v>22.0</v>
      </c>
      <c r="B23" s="3">
        <v>21.0</v>
      </c>
      <c r="C23" s="3" t="s">
        <v>21</v>
      </c>
      <c r="D23" s="3">
        <v>4.0</v>
      </c>
      <c r="E23" s="3" t="s">
        <v>12</v>
      </c>
      <c r="F23" s="3" t="s">
        <v>13</v>
      </c>
      <c r="G23" s="3" t="s">
        <v>19</v>
      </c>
      <c r="H23" s="3" t="s">
        <v>15</v>
      </c>
      <c r="I23" s="3" t="s">
        <v>13</v>
      </c>
      <c r="J23" s="3" t="s">
        <v>34</v>
      </c>
      <c r="K23" s="3" t="s">
        <v>17</v>
      </c>
    </row>
    <row r="24">
      <c r="A24" s="3">
        <v>23.0</v>
      </c>
      <c r="B24" s="3">
        <v>22.0</v>
      </c>
      <c r="C24" s="3" t="s">
        <v>21</v>
      </c>
      <c r="D24" s="3">
        <v>8.0</v>
      </c>
      <c r="E24" s="3" t="s">
        <v>12</v>
      </c>
      <c r="F24" s="3" t="s">
        <v>13</v>
      </c>
      <c r="G24" s="3" t="s">
        <v>19</v>
      </c>
      <c r="H24" s="3" t="s">
        <v>15</v>
      </c>
      <c r="I24" s="3" t="s">
        <v>13</v>
      </c>
      <c r="J24" s="3" t="s">
        <v>33</v>
      </c>
      <c r="K24" s="3" t="s">
        <v>17</v>
      </c>
    </row>
    <row r="25">
      <c r="A25" s="3">
        <v>24.0</v>
      </c>
      <c r="B25" s="3">
        <v>22.0</v>
      </c>
      <c r="C25" s="3" t="s">
        <v>21</v>
      </c>
      <c r="D25" s="3">
        <v>9.0</v>
      </c>
      <c r="E25" s="3" t="s">
        <v>18</v>
      </c>
      <c r="F25" s="3" t="s">
        <v>22</v>
      </c>
      <c r="G25" s="3" t="s">
        <v>14</v>
      </c>
      <c r="H25" s="3" t="s">
        <v>15</v>
      </c>
      <c r="I25" s="3" t="s">
        <v>22</v>
      </c>
      <c r="J25" s="3" t="s">
        <v>39</v>
      </c>
      <c r="K25" s="3" t="s">
        <v>17</v>
      </c>
    </row>
    <row r="26">
      <c r="A26" s="3">
        <v>25.0</v>
      </c>
      <c r="B26" s="3">
        <v>24.0</v>
      </c>
      <c r="C26" s="3" t="s">
        <v>21</v>
      </c>
      <c r="D26" s="3">
        <v>10.0</v>
      </c>
      <c r="E26" s="3" t="s">
        <v>18</v>
      </c>
      <c r="F26" s="3" t="s">
        <v>13</v>
      </c>
      <c r="G26" s="3" t="s">
        <v>19</v>
      </c>
      <c r="H26" s="3" t="s">
        <v>15</v>
      </c>
      <c r="I26" s="3" t="s">
        <v>22</v>
      </c>
      <c r="J26" s="3" t="s">
        <v>35</v>
      </c>
      <c r="K26" s="3" t="s">
        <v>17</v>
      </c>
    </row>
    <row r="27">
      <c r="A27" s="3">
        <v>26.0</v>
      </c>
      <c r="B27" s="3">
        <v>22.0</v>
      </c>
      <c r="C27" s="3" t="s">
        <v>21</v>
      </c>
      <c r="D27" s="3">
        <v>9.0</v>
      </c>
      <c r="E27" s="3" t="s">
        <v>12</v>
      </c>
      <c r="F27" s="3" t="s">
        <v>13</v>
      </c>
      <c r="G27" s="3" t="s">
        <v>14</v>
      </c>
      <c r="H27" s="3" t="s">
        <v>15</v>
      </c>
      <c r="I27" s="3" t="s">
        <v>22</v>
      </c>
      <c r="J27" s="3" t="s">
        <v>35</v>
      </c>
      <c r="K27" s="3" t="s">
        <v>17</v>
      </c>
    </row>
    <row r="28">
      <c r="A28" s="3">
        <v>27.0</v>
      </c>
      <c r="B28" s="3">
        <v>21.0</v>
      </c>
      <c r="C28" s="3" t="s">
        <v>11</v>
      </c>
      <c r="D28" s="3">
        <v>9.0</v>
      </c>
      <c r="E28" s="3" t="s">
        <v>12</v>
      </c>
      <c r="F28" s="3" t="s">
        <v>13</v>
      </c>
      <c r="G28" s="3" t="s">
        <v>14</v>
      </c>
      <c r="H28" s="3" t="s">
        <v>15</v>
      </c>
      <c r="I28" s="3" t="s">
        <v>13</v>
      </c>
      <c r="J28" s="3" t="s">
        <v>35</v>
      </c>
      <c r="K28" s="3" t="s">
        <v>17</v>
      </c>
    </row>
    <row r="29">
      <c r="A29" s="3">
        <v>28.0</v>
      </c>
      <c r="B29" s="3">
        <v>22.0</v>
      </c>
      <c r="C29" s="3" t="s">
        <v>21</v>
      </c>
      <c r="D29" s="3">
        <v>9.0</v>
      </c>
      <c r="E29" s="3" t="s">
        <v>12</v>
      </c>
      <c r="F29" s="3" t="s">
        <v>22</v>
      </c>
      <c r="G29" s="3" t="s">
        <v>19</v>
      </c>
      <c r="H29" s="3" t="s">
        <v>15</v>
      </c>
      <c r="I29" s="3" t="s">
        <v>22</v>
      </c>
      <c r="J29" s="3" t="s">
        <v>30</v>
      </c>
      <c r="K29" s="3" t="s">
        <v>17</v>
      </c>
    </row>
    <row r="30">
      <c r="A30" s="3">
        <v>29.0</v>
      </c>
      <c r="B30" s="3">
        <v>23.0</v>
      </c>
      <c r="C30" s="3" t="s">
        <v>21</v>
      </c>
      <c r="D30" s="3">
        <v>6.0</v>
      </c>
      <c r="E30" s="3" t="s">
        <v>12</v>
      </c>
      <c r="F30" s="3" t="s">
        <v>13</v>
      </c>
      <c r="G30" s="3" t="s">
        <v>19</v>
      </c>
      <c r="H30" s="3" t="s">
        <v>15</v>
      </c>
      <c r="I30" s="3" t="s">
        <v>22</v>
      </c>
      <c r="J30" s="3" t="s">
        <v>35</v>
      </c>
      <c r="K30" s="3" t="s">
        <v>17</v>
      </c>
    </row>
    <row r="31">
      <c r="A31" s="3">
        <v>30.0</v>
      </c>
      <c r="B31" s="3">
        <v>30.0</v>
      </c>
      <c r="C31" s="3" t="s">
        <v>21</v>
      </c>
      <c r="D31" s="3">
        <v>6.0</v>
      </c>
      <c r="E31" s="3" t="s">
        <v>12</v>
      </c>
      <c r="F31" s="3" t="s">
        <v>13</v>
      </c>
      <c r="G31" s="3" t="s">
        <v>19</v>
      </c>
      <c r="H31" s="3" t="s">
        <v>15</v>
      </c>
      <c r="I31" s="3" t="s">
        <v>22</v>
      </c>
      <c r="J31" s="3" t="s">
        <v>38</v>
      </c>
      <c r="K31" s="3" t="s">
        <v>17</v>
      </c>
    </row>
    <row r="32">
      <c r="A32" s="3">
        <v>31.0</v>
      </c>
      <c r="B32" s="3">
        <v>22.0</v>
      </c>
      <c r="C32" s="3" t="s">
        <v>21</v>
      </c>
      <c r="D32" s="3">
        <v>6.0</v>
      </c>
      <c r="E32" s="3" t="s">
        <v>25</v>
      </c>
      <c r="F32" s="3" t="s">
        <v>13</v>
      </c>
      <c r="G32" s="3" t="s">
        <v>14</v>
      </c>
      <c r="H32" s="3" t="s">
        <v>15</v>
      </c>
      <c r="I32" s="3" t="s">
        <v>22</v>
      </c>
      <c r="J32" s="3" t="s">
        <v>20</v>
      </c>
      <c r="K32" s="3" t="s">
        <v>17</v>
      </c>
    </row>
    <row r="33">
      <c r="A33" s="3">
        <v>32.0</v>
      </c>
      <c r="B33" s="3">
        <v>21.0</v>
      </c>
      <c r="C33" s="3" t="s">
        <v>11</v>
      </c>
      <c r="D33" s="3">
        <v>9.0</v>
      </c>
      <c r="E33" s="3" t="s">
        <v>18</v>
      </c>
      <c r="F33" s="3" t="s">
        <v>22</v>
      </c>
      <c r="G33" s="3" t="s">
        <v>14</v>
      </c>
      <c r="H33" s="3" t="s">
        <v>15</v>
      </c>
      <c r="I33" s="3" t="s">
        <v>22</v>
      </c>
      <c r="J33" s="3" t="s">
        <v>34</v>
      </c>
      <c r="K33" s="3" t="s">
        <v>17</v>
      </c>
    </row>
  </sheetData>
  <drawing r:id="rId1"/>
</worksheet>
</file>