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lio\Desktop\clean-code\análise de dados\"/>
    </mc:Choice>
  </mc:AlternateContent>
  <xr:revisionPtr revIDLastSave="0" documentId="13_ncr:1_{09BE25F5-9D88-4BF0-ABFE-FD9BBC5D71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raficos" sheetId="1" r:id="rId1"/>
    <sheet name="estatisticas" sheetId="2" r:id="rId2"/>
    <sheet name="base dados" sheetId="3" r:id="rId3"/>
    <sheet name="dados" sheetId="4" r:id="rId4"/>
    <sheet name="planejamento" sheetId="5" r:id="rId5"/>
    <sheet name="participantes" sheetId="6" r:id="rId6"/>
    <sheet name="perguntas" sheetId="7" r:id="rId7"/>
    <sheet name="métricas" sheetId="8" r:id="rId8"/>
  </sheets>
  <calcPr calcId="191029"/>
  <pivotCaches>
    <pivotCache cacheId="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6" l="1"/>
  <c r="F9" i="6"/>
  <c r="F8" i="6"/>
  <c r="F7" i="6"/>
  <c r="F6" i="6"/>
  <c r="F5" i="6"/>
  <c r="F4" i="6"/>
  <c r="F3" i="6"/>
  <c r="F2" i="6"/>
  <c r="P13" i="4"/>
  <c r="O13" i="4"/>
  <c r="N13" i="4"/>
  <c r="M13" i="4"/>
  <c r="L13" i="4"/>
  <c r="P12" i="4"/>
  <c r="O12" i="4"/>
  <c r="N12" i="4"/>
  <c r="M12" i="4"/>
  <c r="L12" i="4"/>
  <c r="P11" i="4"/>
  <c r="O11" i="4"/>
  <c r="N11" i="4"/>
  <c r="M11" i="4"/>
  <c r="L11" i="4"/>
  <c r="P10" i="4"/>
  <c r="O10" i="4"/>
  <c r="N10" i="4"/>
  <c r="M10" i="4"/>
  <c r="L10" i="4"/>
  <c r="P9" i="4"/>
  <c r="O9" i="4"/>
  <c r="N9" i="4"/>
  <c r="M9" i="4"/>
  <c r="L9" i="4"/>
  <c r="P8" i="4"/>
  <c r="O8" i="4"/>
  <c r="N8" i="4"/>
  <c r="M8" i="4"/>
  <c r="L8" i="4"/>
  <c r="P7" i="4"/>
  <c r="O7" i="4"/>
  <c r="N7" i="4"/>
  <c r="M7" i="4"/>
  <c r="L7" i="4"/>
  <c r="P6" i="4"/>
  <c r="O6" i="4"/>
  <c r="N6" i="4"/>
  <c r="M6" i="4"/>
  <c r="L6" i="4"/>
  <c r="P5" i="4"/>
  <c r="O5" i="4"/>
  <c r="N5" i="4"/>
  <c r="M5" i="4"/>
  <c r="L5" i="4"/>
  <c r="P4" i="4"/>
  <c r="O4" i="4"/>
  <c r="N4" i="4"/>
  <c r="M4" i="4"/>
  <c r="L4" i="4"/>
  <c r="P3" i="4"/>
  <c r="O3" i="4"/>
  <c r="N3" i="4"/>
  <c r="M3" i="4"/>
  <c r="L3" i="4"/>
  <c r="P2" i="4"/>
  <c r="O2" i="4"/>
  <c r="N2" i="4"/>
  <c r="M2" i="4"/>
  <c r="L2" i="4"/>
  <c r="D138" i="2"/>
  <c r="C138" i="2"/>
  <c r="B138" i="2"/>
  <c r="D137" i="2"/>
  <c r="C137" i="2"/>
  <c r="B137" i="2"/>
  <c r="D136" i="2"/>
  <c r="C136" i="2"/>
  <c r="B136" i="2"/>
  <c r="D135" i="2"/>
  <c r="C135" i="2"/>
  <c r="B135" i="2"/>
  <c r="D134" i="2"/>
  <c r="C134" i="2"/>
  <c r="B134" i="2"/>
  <c r="D133" i="2"/>
  <c r="C133" i="2"/>
  <c r="B133" i="2"/>
  <c r="D132" i="2"/>
  <c r="C132" i="2"/>
  <c r="B132" i="2"/>
  <c r="D131" i="2"/>
  <c r="C131" i="2"/>
  <c r="B131" i="2"/>
  <c r="D130" i="2"/>
  <c r="C130" i="2"/>
  <c r="D129" i="2"/>
  <c r="C129" i="2"/>
  <c r="B129" i="2"/>
  <c r="D128" i="2"/>
  <c r="C128" i="2"/>
  <c r="B128" i="2"/>
  <c r="D127" i="2"/>
  <c r="C127" i="2"/>
  <c r="B127" i="2"/>
  <c r="B103" i="2"/>
  <c r="B102" i="2"/>
  <c r="B101" i="2"/>
  <c r="B100" i="2"/>
  <c r="D100" i="2" s="1"/>
  <c r="B99" i="2"/>
  <c r="B112" i="2" s="1"/>
  <c r="B98" i="2"/>
  <c r="D97" i="2"/>
  <c r="B97" i="2"/>
  <c r="C97" i="2" s="1"/>
  <c r="B96" i="2"/>
  <c r="D96" i="2" s="1"/>
  <c r="B95" i="2"/>
  <c r="B94" i="2"/>
  <c r="C94" i="2" s="1"/>
  <c r="B93" i="2"/>
  <c r="B92" i="2"/>
  <c r="G92" i="2" s="1"/>
  <c r="I54" i="2"/>
  <c r="H54" i="2"/>
  <c r="G54" i="2"/>
  <c r="I49" i="2"/>
  <c r="H49" i="2"/>
  <c r="G49" i="2"/>
  <c r="N43" i="2"/>
  <c r="M43" i="2"/>
  <c r="L43" i="2"/>
  <c r="N42" i="2"/>
  <c r="M42" i="2"/>
  <c r="L42" i="2"/>
  <c r="I35" i="2"/>
  <c r="H35" i="2"/>
  <c r="G35" i="2"/>
  <c r="I30" i="2"/>
  <c r="H30" i="2"/>
  <c r="G30" i="2"/>
  <c r="N25" i="2"/>
  <c r="M25" i="2"/>
  <c r="L25" i="2"/>
  <c r="N24" i="2"/>
  <c r="M24" i="2"/>
  <c r="L24" i="2"/>
  <c r="I17" i="2"/>
  <c r="H17" i="2"/>
  <c r="G17" i="2"/>
  <c r="I12" i="2"/>
  <c r="H12" i="2"/>
  <c r="G12" i="2"/>
  <c r="N7" i="2"/>
  <c r="M7" i="2"/>
  <c r="L7" i="2"/>
  <c r="N6" i="2"/>
  <c r="M6" i="2"/>
  <c r="L6" i="2"/>
  <c r="D101" i="2" l="1"/>
  <c r="C93" i="2"/>
  <c r="C108" i="2" s="1"/>
  <c r="D98" i="2"/>
  <c r="C102" i="2"/>
  <c r="C92" i="2"/>
  <c r="B107" i="2"/>
  <c r="D92" i="2"/>
  <c r="B110" i="2"/>
  <c r="G3" i="6"/>
  <c r="G4" i="6"/>
  <c r="G7" i="6"/>
  <c r="G5" i="6"/>
  <c r="G8" i="6"/>
  <c r="G9" i="6"/>
  <c r="G10" i="6"/>
  <c r="D94" i="2"/>
  <c r="D102" i="2"/>
  <c r="D93" i="2"/>
  <c r="B109" i="2"/>
  <c r="C100" i="2"/>
  <c r="C109" i="2" s="1"/>
  <c r="D95" i="2"/>
  <c r="F11" i="6"/>
  <c r="G2" i="6" s="1"/>
  <c r="C103" i="2"/>
  <c r="C99" i="2"/>
  <c r="C112" i="2" s="1"/>
  <c r="B108" i="2"/>
  <c r="D99" i="2"/>
  <c r="C95" i="2"/>
  <c r="C101" i="2"/>
  <c r="B111" i="2"/>
  <c r="C96" i="2"/>
  <c r="C107" i="2" s="1"/>
  <c r="C98" i="2"/>
  <c r="C111" i="2" s="1"/>
  <c r="D103" i="2"/>
  <c r="C110" i="2" l="1"/>
  <c r="G11" i="6"/>
  <c r="G6" i="6"/>
</calcChain>
</file>

<file path=xl/sharedStrings.xml><?xml version="1.0" encoding="utf-8"?>
<sst xmlns="http://schemas.openxmlformats.org/spreadsheetml/2006/main" count="1416" uniqueCount="293">
  <si>
    <t>participantes</t>
  </si>
  <si>
    <t>tarefas</t>
  </si>
  <si>
    <t>tentativas</t>
  </si>
  <si>
    <t>tempo</t>
  </si>
  <si>
    <t>avaliar dificuldade 1-5</t>
  </si>
  <si>
    <t>comparações de código</t>
  </si>
  <si>
    <t>quanto prefere, prefiro fortemente, preffiro 1S, neutro, prefiro 1C, prefiro 1C</t>
  </si>
  <si>
    <t>por que</t>
  </si>
  <si>
    <t>entrevista</t>
  </si>
  <si>
    <t>melhor versão</t>
  </si>
  <si>
    <t>porcentagem de preferência</t>
  </si>
  <si>
    <t>média de tempo</t>
  </si>
  <si>
    <t>média de acertos</t>
  </si>
  <si>
    <t>dificuldade</t>
  </si>
  <si>
    <t>Nomes claros</t>
  </si>
  <si>
    <t>participante 01 (PAR)</t>
  </si>
  <si>
    <t>1S</t>
  </si>
  <si>
    <t>1C</t>
  </si>
  <si>
    <t xml:space="preserve">preferiu muito </t>
  </si>
  <si>
    <t>por causa de alinhamentos, variáveis resutilizadas e legibilidade</t>
  </si>
  <si>
    <t>O participante demonstrou maior facilidade nas tarefas relacionadas a operações matemáticas simples, como cálculo de média e fatorial, afirmando que conseguiu identificar rapidamente a lógica utilizada. Na tarefa de cálculo de média, destacou que compreender a média e verificar aprovação ou reprovação foi facilitado pela organização da lógica e pela identificação dos índices e condições presentes no código. Na questão sobre números primos, relatou que a lógica ficou mais clara ao perceber que, quando a quantidade de divisores ultrapassava dois, o resultado necessariamente seria falso, o que acelerou sua interpretação da solução. Na tarefa de fatorial, mencionou que a familiaridade prévia com o cálculo tornou a resolução direta e intuitiva.
Na questão relacionada à busca do maior número em uma lista, o participante afirmou que os nomes das funções facilitaram significativamente sua compreensão, destacando especificamente o nome “encontrar_maior_numero” como elemento que permitiu deduzir rapidamente o objetivo da função sem necessidade de analisar detalhadamente toda a implementação. Já na tarefa de busca binária, apontou maior dificuldade de compreensão devido à quantidade de índices, condições e comparações envolvidas, relatando que a lógica exigia maior esforço mental para ser acompanhada apenas pela leitura do código, classificando-a como a tarefa mais complexa do experimento.
Na tarefa envolvendo Bubble Sort, o participante relatou que a compreensão foi influenciada por sua experiência prévia com estrutura de dados, afirmando que estudantes iniciantes poderiam encontrar maior dificuldade por não conhecerem previamente o algoritmo. Durante a entrevista, reforçou que nomes claros de funções e variáveis tiveram impacto direto na compreensão do código, pois permitiam identificar rapidamente a finalidade da função sem necessidade de analisar linha por linha da implementação. Também afirmou acreditar que práticas de organização e padronização contribuem para o aprendizado de programação, pois ajudam na repetição de padrões corretos de desenvolvimento. Ao final, avaliou positivamente a participação no experimento, embora tenha destacado novamente a quinta questão como a mais difícil e demorada de resolver.</t>
  </si>
  <si>
    <t>AVERAGE de tempo</t>
  </si>
  <si>
    <t>AVERAGE de tentativas</t>
  </si>
  <si>
    <t>AVERAGE de avaliar dificuldade 1-5</t>
  </si>
  <si>
    <t>2S</t>
  </si>
  <si>
    <t>TABELA MÉDIAS</t>
  </si>
  <si>
    <t>2C</t>
  </si>
  <si>
    <t>3S</t>
  </si>
  <si>
    <t>Categoria</t>
  </si>
  <si>
    <t>Tempo médio</t>
  </si>
  <si>
    <t>Tentivas médias</t>
  </si>
  <si>
    <t>Dificuldade média</t>
  </si>
  <si>
    <t>3C</t>
  </si>
  <si>
    <t>por causa da verificação inicial feita nela</t>
  </si>
  <si>
    <t>4C</t>
  </si>
  <si>
    <t>-</t>
  </si>
  <si>
    <t>5C</t>
  </si>
  <si>
    <t xml:space="preserve">neutro </t>
  </si>
  <si>
    <t>gostou levemente mais da 3C pela legibilidade</t>
  </si>
  <si>
    <t>6C</t>
  </si>
  <si>
    <t>participante 02 (ÌMPAR)</t>
  </si>
  <si>
    <r>
      <rPr>
        <sz val="10"/>
        <color theme="1"/>
        <rFont val="Arial"/>
      </rPr>
      <t xml:space="preserve">Com </t>
    </r>
    <r>
      <rPr>
        <i/>
        <sz val="10"/>
        <color theme="1"/>
        <rFont val="Arial"/>
      </rPr>
      <t>Clean Code</t>
    </r>
  </si>
  <si>
    <t>4S</t>
  </si>
  <si>
    <r>
      <rPr>
        <sz val="10"/>
        <color theme="1"/>
        <rFont val="Arial"/>
      </rPr>
      <t xml:space="preserve">Sem </t>
    </r>
    <r>
      <rPr>
        <i/>
        <sz val="10"/>
        <color theme="1"/>
        <rFont val="Arial"/>
      </rPr>
      <t>Clean Code</t>
    </r>
  </si>
  <si>
    <t>5S</t>
  </si>
  <si>
    <t>6S</t>
  </si>
  <si>
    <r>
      <rPr>
        <sz val="10"/>
        <color theme="1"/>
        <rFont val="Arial"/>
      </rPr>
      <t xml:space="preserve">Nomes claros com </t>
    </r>
    <r>
      <rPr>
        <i/>
        <sz val="10"/>
        <color theme="1"/>
        <rFont val="Arial"/>
      </rPr>
      <t>Clean Code</t>
    </r>
  </si>
  <si>
    <t>participante 03 (PAR)</t>
  </si>
  <si>
    <t>resultado Nomes claros com Clean Code</t>
  </si>
  <si>
    <t>O participante destacou que as tarefas mais fáceis foram aquelas em que os nomes das funções e variáveis eram autoexplicativos, afirmando que isso facilitava identificar rapidamente o objetivo do código. Relatou que as funções “já explicavam exatamente o que estavam fazendo”, apontando como fatores positivos a declaração das variáveis, a divisão das funções e a clareza dos nomes utilizados. Segundo o participante, essas características contribuíram diretamente para a compreensão das tarefas 1, 2 e 3, pois permitiam entender rapidamente a finalidade das funções sem necessidade de análise detalhada da implementação.
A principal dificuldade relatada ocorreu na quinta questão, relacionada à busca binária. O participante afirmou que, embora a função indicasse que realizava uma busca, não ficava explícito o que exatamente estava sendo buscado. Segundo sua interpretação, o código retornava o índice da posição do elemento e não o próprio valor procurado, o que demandou maior tempo de compreensão até identificar corretamente o comportamento da função. Essa ausência de clareza semântica foi apontada como fator que dificultou a interpretação da lógica do algoritmo.
Sobre a organização geral dos códigos, o participante avaliou positivamente a estrutura apresentada, afirmando não perceber códigos “bagunçados” ou difíceis de identificar visualmente. Também destacou que nomes claros de variáveis e funções impactaram diretamente sua compreensão, especialmente na primeira questão, pois os nomes já indicavam o que estava sendo armazenado ou executado. Além disso, afirmou acreditar que práticas de organização e padronização auxiliam no aprendizado de programação, pois códigos desorganizados aumentam o tempo necessário para compreensão, identificação de responsabilidades e futuras modificações. Ao final, avaliou positivamente sua participação no experimento.</t>
  </si>
  <si>
    <r>
      <rPr>
        <sz val="10"/>
        <color theme="1"/>
        <rFont val="Arial"/>
      </rPr>
      <t xml:space="preserve">Nomes claros sem </t>
    </r>
    <r>
      <rPr>
        <i/>
        <sz val="10"/>
        <color theme="1"/>
        <rFont val="Arial"/>
      </rPr>
      <t>Clean Code</t>
    </r>
  </si>
  <si>
    <t>participante 04 (ÍMPAR)</t>
  </si>
  <si>
    <t>resultado Nomes claros sem Clean Code</t>
  </si>
  <si>
    <t>Múltiplos parâmetros</t>
  </si>
  <si>
    <t>preferiu</t>
  </si>
  <si>
    <t>mais descritiva e melhor de ler e entender por causa dos nomes das variáveis</t>
  </si>
  <si>
    <r>
      <rPr>
        <sz val="10"/>
        <color theme="1"/>
        <rFont val="Arial"/>
      </rPr>
      <t xml:space="preserve">Com </t>
    </r>
    <r>
      <rPr>
        <i/>
        <sz val="10"/>
        <color theme="1"/>
        <rFont val="Arial"/>
      </rPr>
      <t>Clean Code</t>
    </r>
  </si>
  <si>
    <t>visualmente menos confuso e mais organizado o código</t>
  </si>
  <si>
    <t>participante 05 (PAR)</t>
  </si>
  <si>
    <r>
      <rPr>
        <sz val="10"/>
        <color theme="1"/>
        <rFont val="Arial"/>
      </rPr>
      <t xml:space="preserve">Sem </t>
    </r>
    <r>
      <rPr>
        <i/>
        <sz val="10"/>
        <color theme="1"/>
        <rFont val="Arial"/>
      </rPr>
      <t>Clean Code</t>
    </r>
  </si>
  <si>
    <t>neutro</t>
  </si>
  <si>
    <t>gostou umpouco mais por ser mais descritivo</t>
  </si>
  <si>
    <r>
      <rPr>
        <sz val="10"/>
        <color theme="1"/>
        <rFont val="Arial"/>
      </rPr>
      <t xml:space="preserve">Múltiplos parâmetros com </t>
    </r>
    <r>
      <rPr>
        <i/>
        <sz val="10"/>
        <color theme="1"/>
        <rFont val="Arial"/>
      </rPr>
      <t>Clean Code</t>
    </r>
  </si>
  <si>
    <t>O participante relatou que a primeira tarefa foi a mais fácil de compreender por possuir menor complexidade lógica e abordar uma situação comum do cotidiano, relacionada à comparação de notas e faltas. Segundo ele, a tarefa apresentava boa legibilidade, funções com nomes adequados e lógica simples de acompanhar, o que tornou a interpretação mais tranquila. Destacou também que os resultados eram expostos de maneira clara, contribuindo para uma compreensão mais rápida da solução proposta.
Ao discutir os elementos que facilitaram sua compreensão, o participante afirmou que o principal fator foi a nomenclatura das funções. Segundo seu relato, o nome da função permitia antecipar a lógica associada ao código, auxiliando diretamente no raciocínio necessário para interpretar o algoritmo. Como exemplo, citou a função relacionada à verificação de números primos, afirmando que, mesmo sem lembrar imediatamente do cálculo matemático envolvido, o nome da função o ajudou a compreender a finalidade da implementação e validar mentalmente os resultados apresentados.
Em relação às dificuldades encontradas, mencionou que a questão sobre números primos gerou certa dúvida inicial devido à necessidade de recordar o conceito matemático relacionado ao algoritmo. No entanto, afirmou que conseguiu compreender corretamente após ler o código com mais atenção. Sobre a organização dos códigos, destacou que ela influenciou diretamente sua interpretação das soluções, pois a sequência lógica apresentada no código foi a mesma utilizada em seu processo de raciocínio para validar os resultados e selecionar as respostas corretas.
O participante também reforçou que os nomes das variáveis e funções tiveram forte impacto positivo em sua compreensão, afirmando que nomenclaturas genéricas ou sem significado tornariam a interpretação significativamente mais difícil. Para exemplificar, comentou que funções e variáveis com nomes pouco descritivos dificultariam entender rapidamente o comportamento do algoritmo, especialmente em códigos maiores e mais complexos. Além disso, afirmou acreditar que práticas de organização e padronização são fundamentais para o aprendizado de programação, pois a programação depende diretamente da compreensão lógica do que está sendo escrito. Segundo ele, códigos pouco organizados e com nomes inadequados dificultam tanto o aprendizado quanto a compreensão de algoritmos complexos. Ao final, avaliou positivamente o experimento, descrevendo-o como simples, objetivo e coerente com a proposta apresentada.</t>
  </si>
  <si>
    <t>D</t>
  </si>
  <si>
    <t>C</t>
  </si>
  <si>
    <r>
      <rPr>
        <sz val="10"/>
        <color theme="1"/>
        <rFont val="Arial"/>
      </rPr>
      <t xml:space="preserve">resultado múltiplos parâmetros com </t>
    </r>
    <r>
      <rPr>
        <i/>
        <sz val="10"/>
        <color theme="1"/>
        <rFont val="Arial"/>
      </rPr>
      <t>Clean Code</t>
    </r>
  </si>
  <si>
    <t>participante 06 (ÍMPAR)</t>
  </si>
  <si>
    <r>
      <rPr>
        <sz val="10"/>
        <color theme="1"/>
        <rFont val="Arial"/>
      </rPr>
      <t xml:space="preserve">Múltiplos parâmetros sem </t>
    </r>
    <r>
      <rPr>
        <i/>
        <sz val="10"/>
        <color theme="1"/>
        <rFont val="Arial"/>
      </rPr>
      <t>Clean Code</t>
    </r>
  </si>
  <si>
    <t>B</t>
  </si>
  <si>
    <r>
      <rPr>
        <sz val="10"/>
        <color theme="1"/>
        <rFont val="Arial"/>
      </rPr>
      <t xml:space="preserve">resultado múltiplos parâmetros sem </t>
    </r>
    <r>
      <rPr>
        <i/>
        <sz val="10"/>
        <color theme="1"/>
        <rFont val="Arial"/>
      </rPr>
      <t>Clean Code</t>
    </r>
  </si>
  <si>
    <t>Funções extensas</t>
  </si>
  <si>
    <t>O participante relatou que a tarefa relacionada à verificação de números primos foi a mais fácil de compreender, principalmente devido à clareza dos nomes das variáveis e funções utilizadas. Destacou especificamente nomes como “quantidade_divisores” e “divisor”, afirmando que essas nomenclaturas permitiam entender rapidamente o papel de cada elemento no algoritmo e acompanhar a lógica da solução com facilidade. Segundo ele, os nomes das funções também contribuíram significativamente para sua compreensão, pois possibilitavam deduzir o comportamento geral do código mesmo sem analisar detalhadamente toda a implementação.
A principal dificuldade apontada ocorreu na quinta questão, relacionada ao algoritmo de busca binária. O participante afirmou que o retorno da função não estava suficientemente claro apenas pela leitura superficial do código, gerando dúvidas sobre o que exatamente seria retornado pelo algoritmo. Segundo sua interpretação inicial, não era possível identificar imediatamente se a função retornava o índice do elemento, o próprio valor procurado ou apenas uma confirmação de existência do item na lista. Essa ambiguidade semântica foi considerada o principal fator de dificuldade na compreensão da tarefa.
Sobre a organização do código, o participante afirmou que ela influenciou diretamente sua interpretação das soluções. Segundo ele, a estrutura utilizada permitia observar rapidamente os resultados esperados apenas pela leitura das chamadas das funções e dos comandos de saída, sem necessidade de analisar completamente toda a implementação interna. No entanto, reforçou que essa facilidade não ocorreu da mesma forma na questão da busca binária, justamente pela indefinição percebida em relação ao retorno da função.
O participante também destacou que nomes claros de variáveis e funções impactaram fortemente sua compreensão dos códigos, afirmando que boas nomenclaturas facilitavam acompanhar o fluxo lógico e identificar rapidamente o propósito de cada variável durante a execução do algoritmo. Além disso, afirmou acreditar que práticas de organização e padronização auxiliam significativamente no aprendizado de programação, especialmente para estudantes iniciantes. Segundo seu relato, códigos desorganizados e excessivamente grandes dificultam a retomada e manutenção de projetos após algum tempo sem contato, enquanto códigos organizados permitem compreender rapidamente o funcionamento da aplicação mesmo após períodos afastado do desenvolvimento. Ao final, avaliou positivamente a experiência de participação no experimento.</t>
  </si>
  <si>
    <t>participante 07 (PAR)</t>
  </si>
  <si>
    <r>
      <rPr>
        <sz val="10"/>
        <color theme="1"/>
        <rFont val="Arial"/>
      </rPr>
      <t xml:space="preserve">Com </t>
    </r>
    <r>
      <rPr>
        <i/>
        <sz val="10"/>
        <color theme="1"/>
        <rFont val="Arial"/>
      </rPr>
      <t>Clean Code</t>
    </r>
  </si>
  <si>
    <r>
      <rPr>
        <sz val="10"/>
        <color theme="1"/>
        <rFont val="Arial"/>
      </rPr>
      <t xml:space="preserve">Sem </t>
    </r>
    <r>
      <rPr>
        <i/>
        <sz val="10"/>
        <color theme="1"/>
        <rFont val="Arial"/>
      </rPr>
      <t>Clean Code</t>
    </r>
  </si>
  <si>
    <t>Com base no arquivo "participante 05.pdf", a entrevista revela percepções valiosas sobre o impacto do Clean Code na legibilidade do software. O entrevistado pontuou que as tarefas de verificar números primos e calcular o fatorial foram as mais fáceis de compreender, justificando que a familiaridade prévia com esses conceitos matemáticos, já abordados nas disciplinas iniciais de programação (P1 e P2), reduziu a barreira de entendimento. Além do contexto temático, o fator determinante para o sucesso na leitura do código foi a expressividade dos nomes de variáveis e funções. Para o participante, quando os nomes exprimem claramente a intenção e a ação do bloco, o desenvolvedor consegue captar o propósito da rotina logo na primeira leitura, sem a necessidade de analisar detalhadamente o corpo da função.  Em contrapartida, o estudo identificou um gargalo cognitivo na tarefa de "Trocar posições". O participante manifestou maior dificuldade nessa atividade devido à complexidade estrutural da solução, que utilizava um laço de repetição aninhado (for aninhado) chamando uma segunda função para manipular uma lista. Esse arranjo exigiu um esforço extra de processamento lógico e um nível elevado de atenção para acompanhar o fluxo dos dados. Apesar desse ponto crítico, a organização geral do código atuou de forma positiva, funcionando como um guia que induziu a sequência lógica correta e facilitou o encadeamento dos passos a serem seguidos. O estudante enfatizou que, caso a estrutura estivesse desorganizada, o esforço para interpretar a solução teria sido consideravelmente maior.Por fim, a entrevista reforça o papel da padronização e da organização como ferramentas essenciais no aprendizado e no trabalho em equipe. O participante argumentou que a adoção de boas práticas garante que qualquer pessoa, e não apenas o autor original do código, consiga compreender a lógica imediatamente ao "bater o olho", evitando a perda de tempo com nomenclaturas aleatórias. Sobre a participação no experimento em si, a experiência foi avaliada como altamente positiva e interessante, destacando o valor pedagógico de realizar o "processamento lógico manual", ou seja, o exercício mental de simular a execução do código passo a passo para entender as intenções do produtor original.</t>
  </si>
  <si>
    <r>
      <rPr>
        <sz val="10"/>
        <color theme="1"/>
        <rFont val="Arial"/>
      </rPr>
      <t xml:space="preserve">Funções extensas com </t>
    </r>
    <r>
      <rPr>
        <i/>
        <sz val="10"/>
        <color theme="1"/>
        <rFont val="Arial"/>
      </rPr>
      <t>clean Code</t>
    </r>
  </si>
  <si>
    <t>participante 08 (ÍMPAR)</t>
  </si>
  <si>
    <r>
      <rPr>
        <sz val="10"/>
        <color theme="1"/>
        <rFont val="Arial"/>
      </rPr>
      <t xml:space="preserve">resultado funções extensas com </t>
    </r>
    <r>
      <rPr>
        <i/>
        <sz val="10"/>
        <color theme="1"/>
        <rFont val="Arial"/>
      </rPr>
      <t>Clean Code</t>
    </r>
  </si>
  <si>
    <r>
      <rPr>
        <sz val="10"/>
        <color theme="1"/>
        <rFont val="Arial"/>
      </rPr>
      <t xml:space="preserve">Funções extensas sem </t>
    </r>
    <r>
      <rPr>
        <i/>
        <sz val="10"/>
        <color theme="1"/>
        <rFont val="Arial"/>
      </rPr>
      <t>clean Code</t>
    </r>
  </si>
  <si>
    <t>Com base na transcrição do Participante 06, a entrevista traz apontamentos sobre como os aspectos visuais e estruturais do código influenciam a legibilidade. O entrevistado avaliou que a tarefa número 4 foi a mais fácil de compreender, justificando que ela se destacava por ser um código menor e visualmente mais limpo. De forma geral, os elementos que mais contribuíram para facilitar a compreensão foram os nomes intuitivos das variáveis e a indentação correta, a qual deixou o código visualmente bem estruturado e organizado. O participante reforçou que a organização geral de todas as questões impactou positivamente a sua interpretação das soluções, considerando que os nomes das variáveis e funções estavam claros. Apesar disso, ele mencionou uma ressalva pontual na própria tarefa mais fácil, onde o uso da variável com o nome "N" causou uma breve dúvida inicial se representava o valor em si, sendo compreendida logo em seguida por meio do contexto.
Em contrapartida, a maior dificuldade e dúvida ocorreram na questão 5 devido à falta de atenção a um detalhe no retorno da função. O participante explicou que o enunciado pedia para buscar uma posição, mas ele não reparou na linha de código que tratava a exceção retornando "-1" caso o número não fosse encontrado. Por não notar esse detalhe específico do retorno, ele acabou se confundindo no processamento e errando as possibilidades da questão.
Ao analisar o papel da padronização e da organização, o entrevistado afirmou que essas práticas são fundamentais tanto para o tratamento de erros e compreensão da máquina quanto para o fator humano no desenvolvimento. Ele destacou que ninguém programa sozinho e que o objetivo principal é garantir que o próximo programador a acessar o código consiga entender o que foi feito. Além disso, ressaltou o benefício próprio, apontando que a organização é indispensável para quando o próprio autor precisar retornar ao código no futuro para consultá-lo ou implementar novas melhorias. Por fim, a experiência de participar do experimento foi avaliada de maneira positiva, sendo descrita pelo participante como legal e tranquila.</t>
  </si>
  <si>
    <r>
      <rPr>
        <sz val="10"/>
        <color theme="1"/>
        <rFont val="Arial"/>
      </rPr>
      <t xml:space="preserve">resultado funções extensas com </t>
    </r>
    <r>
      <rPr>
        <i/>
        <sz val="10"/>
        <color theme="1"/>
        <rFont val="Arial"/>
      </rPr>
      <t>Clean Code</t>
    </r>
  </si>
  <si>
    <t>participante 09 (PAR)</t>
  </si>
  <si>
    <t>TABELA DE TEMPO</t>
  </si>
  <si>
    <t>por ser mais simples o código logo a comreensão era mais fácil</t>
  </si>
  <si>
    <t>Com base no arquivo "participante 07.pdf", a entrevista detalha como a clareza nas estruturas e o uso do idioma influenciam a interpretação do código. O participante identificou a segunda tarefa como a mais fácil de entender pelo fato de ela retornar apenas um valor booleano. De forma prática, ele explicou que bastava analisar a posição e o resultado final da função (como a verificação se o número dez é ou não primo dentro de um array) para compreender a lógica aplicada. No aspecto geral, o que mais contribuiu para facilitar a sua compreensão foi a análise interna das funções e o acompanhamento da lógica desenvolvida dentro de cada bloco de código.  Por outro lado, o principal ponto de dificuldade ocorreu no início da primeira tarefa devido à presença de duas funções. O entrevistado explicou que, à primeira vista, confundiu a estrutura e identificou o trecho como se fosse uma única função, só percebendo posteriormente que se tratava de duas funções separadas. Apesar dessa confusão inicial, a organização do código influenciou positivamente a interpretação da solução, pois ajudou a identificar o que seria retornado em cada trecho e a guiar o entendimento a partir do ponto onde os valores são atribuídos na parte inferior do código. Da mesma forma, os nomes de variáveis e funções causaram um impacto positivo por serem familiares ao propósito das rotinas, permitindo deduzir facilmente as regras de negócio, como associar "calcular a presença" à contagem de faltas e reprovação de um aluno, ou deduzir o objetivo de "calcular médias".  Por fim, o participante defendeu que a prática de organização e padronização é de grande ajuda no aprendizado da programação, trazendo como argumento principal o fator do idioma. Ele destacou que, como a base da programação é em inglês, a escrita de funções e variáveis em português facilita consideravelmente o entendimento do que o código está executando, principalmente para estudantes iniciantes que ainda não possuem bom domínio da língua inglesa. A experiência de fazer parte do experimento foi avaliada de forma positiva e descrita pelo entrevistado como boa.</t>
  </si>
  <si>
    <t xml:space="preserve">Preferiu muito </t>
  </si>
  <si>
    <t>MIN de tempo</t>
  </si>
  <si>
    <t>MAX de tempo</t>
  </si>
  <si>
    <t>MEDIAN de tempo</t>
  </si>
  <si>
    <t>Com base na transcrição do Participante 08, a entrevista ressalta a importância da nomenclatura descritiva para a legibilidade e o impacto de desconhecer funções nativas da linguagem. O entrevistado considerou a segunda questão, que tratava de números primos, a mais fácil de entender. Ele explicou que, ao iniciar a leitura, já sabia exatamente que a função servia para calcular e identificar quais números eram primos porque tanto o nome da função quanto o nome das variáveis deixavam isso explícito. Reforçando esse ponto, o participante apontou que os elementos que mais contribuíram para o seu entendimento no geral foram os nomes das funções e os parâmetros utilizados. Para ele, quando o nome da função detalha exatamente o que ela vai fazer, a análise do código se torna muito mais fácil.  Por outro lado, o maior ponto de dúvida e confusão aconteceu na quinta questão. A dificuldade do participante esteve centralizada no fato de não se lembrar de uma função nativa do Python responsável por calcular o tamanho de uma lista, o que o fez se confundir durante a resolução. Apesar desse obstáculo com a sintaxe, ele concordou que a organização do código influenciou sua interpretação de forma positiva, permitindo que ele seguisse uma ordem lógica na hora de realizar a análise.  Em relação à padronização e estruturação do código, o entrevistado afirmou acreditar que essas práticas ajudam no aprendizado da programação, pois são fatores que expandem e facilitam a compreensão geral de quem estuda. Por fim, ao avaliar a experiência de participar do experimento, o participante relatou que achou a atividade boa e legal, comentando ainda que esperava que o processo fosse mais difícil do que realmente foi</t>
  </si>
  <si>
    <t>participante 10 (ÍMPAR)</t>
  </si>
  <si>
    <t>por ser mais descritivo então ficou mais de entender</t>
  </si>
  <si>
    <t>gostou um pouco mais pela simplicidade</t>
  </si>
  <si>
    <t>melhores definicções e escalabilidade no código caso fosse evoluir</t>
  </si>
  <si>
    <t>Com base no arquivo "participante 09.pdf", a entrevista evidencia a relevância da concisão, da estrutura do código e de variáveis autoexplicativas para o processo de compreensão do software. O participante destacou que a tarefa de calcular o fatorial foi a mais fácil de entender por ser uma função simples, objetiva e direta ao ponto. Ele justificou que a menor quantidade de linhas de código propiciou uma rápida interpretação do fluxo de multiplicação dos números por seus antecessores, tornando o processo tranquilo e sem complicações. Para o entrevistado, o elemento que mais contribuiu para facilitar o entendimento geral foram os nomes das variáveis, e ele afirmou não ter encontrado nenhum trecho que lhe gerasse dúvidas ou dificuldades na leitura das questões.  A organização estrutural das soluções exerceu um papel crucial na forma como o participante escaneou visualmente o código. Ele relatou que o hábito de estruturar o código posicionando as funções no início fez com que seus olhos buscassem primeiro a declaração das variáveis mais abaixo, para entender quais dados estavam sendo manipulados. A partir desse entendimento do escopo das variáveis, ele subia para analisar as funções. Essa ordenação sistemática facilitou significativamente a descoberta e o entendimento do que estava acontecendo em cada trecho. Além disso, o uso de nomenclaturas expressivas causou um impacto positivo marcante, pois as variáveis e funções se "autodeclaravam" e indicavam claramente seus propósitos, exemplificado por nomes como "calcular a média de três" ou variáveis como "aluno um" e "aluno dois".  Diante disso, o participante defendeu firmemente que as práticas de organização e padronização são indispensáveis no aprendizado e no desenvolvimento, argumentando que de nada adianta um código funcionar se outras pessoas não conseguirem entender o que se passa nele. Ele reforçou que uma boa escrita, aliada à nomeação correta de variáveis e escopos de funções, é o que garante o cumprimento do objetivo do código de ser compreendido. Por fim, a experiência de participar do experimento foi avaliada de maneira excelente e muito positiva pelo entrevistado.</t>
  </si>
  <si>
    <t>Total geral</t>
  </si>
  <si>
    <t>gostou um pouco mais pela organização</t>
  </si>
  <si>
    <t>COMPARACAO</t>
  </si>
  <si>
    <t>por causa da utilização for "i" dentro do laço for</t>
  </si>
  <si>
    <t>TAREFAS</t>
  </si>
  <si>
    <t>VOTOS</t>
  </si>
  <si>
    <t>PORCENTAGEM DOS VOTOS</t>
  </si>
  <si>
    <t>FAVORITA</t>
  </si>
  <si>
    <t>participante 11 (PAR)</t>
  </si>
  <si>
    <t>Com base na transcrição do Participante 10, a entrevista aponta fatores como a visibilidade do fluxo e o impacto negativo de estruturas complexas e valores soltos no código. O participante considerou a tarefa de cálculo de fatorial a mais fácil de compreender. Ele justificou sua escolha explicando que o código dessa questão estava mais visível, permitindo que ele olhasse e já começasse a realizar os cálculos mentalmente, sem a necessidade de tentar decifrar o que a rotina estava fazendo. De modo geral, o elemento que mais contribuiu para facilitar sua compreensão foi a clareza nos retornos das funções, pois conseguir vislumbrar o que está sendo retornado torna o entendimento mais direto.  Por outro lado, o principal ponto de dúvida e dificuldade em todas as questões foi a presença de laços de repetição encadeados, especificamente a estrutura de "for dentro de for". Quanto à organização estrutural das soluções, o participante declarou que ela não influenciou sua interpretação. No entanto, ele ressaltou que os nomes das variáveis e das funções causaram um impacto positivo marcante, deixando o código consideravelmente mais legível por explicarem o que cada variável e cada parte da função estavam executando.  A partir disso, o entrevistado afirmou que a organização e a padronização são fundamentais para ajudar no aprendizado da programação porque servem para guiar o estudante. Ele argumentou que, quando não existe um padrão, o programador fica perdido sem saber para onde olhar primeiro. Em contrapartida, contar com nomes corretos e um código mais limpo — livre de "números flutuantes" ou "números mágicos" (valores soltos sem explicação) — permite que a pessoa consiga se centralizar melhor na lógica. Ao fim, o participante avaliou a experiência de fazer parte do experimento de maneira positiva, definindo-a como boa</t>
  </si>
  <si>
    <t>preferiu muito</t>
  </si>
  <si>
    <t>o código está muito mais légivel</t>
  </si>
  <si>
    <t>mesmo o código sendo maior ele está muito mais explicativo e mais fácil de entender</t>
  </si>
  <si>
    <t>participante 12 (ÍMPAR)</t>
  </si>
  <si>
    <t>mais abreviada e mais simples de entender</t>
  </si>
  <si>
    <t>Com base na transcrição do Participante 11, a entrevista evidencia como a nomenclatura e a padronização ajudam a resgatar fundamentos lógicos e a estabelecer uma comunicação clara entre programadores. O participante apontou a tarefa de "encontrar o maior número" como a mais fácil de entender. Ele explicou que, embora tenha precisado ler um pouco mais na primeira questão, o processo se tornou direto assim que compreendeu o propósito do código através do nome da função. Saber que a rotina se chamava "maior número" indicava imediatamente que o objetivo era buscar o maior valor entre as opções, tornando o nome das funções o elemento que mais contribuiu para facilitar a sua compreensão geral.  Em contrapartida, o trecho que gerou dúvida e dificuldade estava localizado na tarefa de calcular a média de três. O obstáculo do entrevistado foi não se lembrar do funcionamento de uma variável específica ou de um comportamento padrão (default) da linguagem Python naquele ponto. Apesar dessa lacuna de memória, a organização estrutural do código influenciou positivamente a sua interpretação. O participante defendeu que um código bem estruturado e definido permite identificar onde estão as funções, onde se localizam as variáveis e onde começa e termina o fluxo do programa, seguindo a lógica que é ensinada no início do curso. O impacto dos nomes das variáveis e funções foi considerado drástico pelo participante, que afirmou que não entenderia o intuito das funções e não saberia como encontrar as alternativas corretas se não fossem pelas nomenclaturas expressivas.  Diante disso, o entrevistado afirmou acreditar que as práticas de organização e padronização são fundamentais para o aprendizado da programação. Ele argumentou que, embora as pessoas tenham formas e versões diferentes de compreender as coisas, a padronização estabelece uma conexão entre o aprendizado de diferentes indivíduos. Essa prática é essencial tanto para expressar o próprio entendimento quanto para decifrar o código de terceiros, facilitando a colaboração. Por fim, a experiência de participar do experimento foi muito elogiada pelo participante, que destacou a oportunidade de relembrar a base da programação, apontando que, na reta final do curso, os estudantes lidam com conteúdos avançados e tendem a esquecer os conceitos fundamentais</t>
  </si>
  <si>
    <t>por ser uma questão menor então fica mais fácil</t>
  </si>
  <si>
    <t>Nomes claros com Clean Code</t>
  </si>
  <si>
    <t>Com base na transcrição do Participante 12, a entrevista reforça o impacto altamente positivo da ausência de números mágicos e de uma boa formatação visual na velocidade de interpretação do código. O participante apontou a primeira tarefa como a mais fácil de entender. O motivo central para essa escolha foi o fato de as variáveis não conterem "números mágicos" (valores soltos e sem explicação); em vez disso, os valores estavam explicados por meio de nomenclaturas claras, como a indicação de qual era a nota mínima ou o máximo de faltas permitido. Essa explicação e detalhamento das variáveis foram apontados como os elementos que mais contribuíram para o seu entendimento geral.  Por outro lado, o único trecho que gerou dúvida e dificuldade foi a quinta questão. O participante explicou que o seu estranhamento inicial ocorreu porque ele estava acostumado a criar funções de busca que retornavam o valor em si. No entanto, ao reler a estrutura com mais atenção, ele percebeu que a lógica implementada na questão retornava, na verdade, o índice da posição dentro da lista.  A organização espacial e estrutural do código influenciou positivamente a interpretação do participante. Ele elogiou o fato de os códigos estarem bem detalhados, possuírem espaçamentos adequados entre os blocos (como as estruturas de if) e não estarem excessivamente aninhados, o que evita que as informações fiquem embaralhadas na mente de quem lê. Da mesma forma, os nomes das variáveis e das funções impactaram diretamente a sua compreensão, pois permitiram que ele soubesse exatamente o que procurar antes mesmo de analisar a lógica interna; se a função se chamava "número primo", por exemplo, ele já conseguia deduzir que ela faria uma verificação para retornar um valor booleano.  Diante disso, o entrevistado afirmou que as práticas de organização e padronização são primordiais para o aprendizado da programação. Fazendo uma analogia com o cotidiano, ele argumentou que, assim como organizar o lugar onde você está melhora o rendimento nos estudos, organizar o código escrito permite uma interpretação muito mais rápida. Ele concluiu reforçando que a organização é o que permite ler uma função e saber imediatamente o que ela faz, ou olhar para uma variável e compreender seu significado através de um nome legível em vez de um número mágico.</t>
  </si>
  <si>
    <t>participante 13 (PAR)</t>
  </si>
  <si>
    <t>código muito mais detalhado e mais explicativo que passa a ideia daquilo que irá fazer em cada linha de código</t>
  </si>
  <si>
    <t>Nomes claros sem Clean Code</t>
  </si>
  <si>
    <t>uma lógica mais moderna onde há separação e organização no código o que ajuda a interpretar o código</t>
  </si>
  <si>
    <t>Multiplos parâmetros com Clean Code</t>
  </si>
  <si>
    <t>mais fácil de modificar em futuras alterações</t>
  </si>
  <si>
    <t>Com base na transcrição do Participante 13, a entrevista reforça o papel da concisão, do espaçamento visual e de nomes expressivos no combate a barreiras cognitivas no aprendizado. O participante avaliou a tarefa de calcular o fatorial como a mais fácil de entender. Ele justificou sua escolha explicando que o código é curto e de formato não recursivo, além de ser uma lógica com a qual já possui familiaridade prévia. Em um panorama geral, os elementos do código que mais contribuíram para o seu entendimento foram o bom espaçamento entre as estruturas e a presença de descrições bem específicas.  Por outro lado, o maior foco de confusão e dificuldade esteve relacionado à manipulação de listas, concentrando-se especificamente nas questões cinco e seis. O entrevistado explicou que esse tipo de lógica exige que ele pare e pense um pouco mais para conseguir processar a solução. Apesar desse obstáculo lógico, a organização estrutural influenciou positivamente a sua interpretação. O participante pontuou que o código bem organizado, com o uso correto de espaçamentos e tabulações (tab), ajuda bastante a identificar onde se inicia e onde termina uma função, um laço for ou uma estrutura condicional if. Do mesmo modo, os nomes das variáveis e das funções impactaram diretamente o processo, permitindo que ele compreendesse o código de forma muito mais fácil.  Diante disso, o participante afirmou acreditar que as práticas de organização e padronização são fundamentais para quem está aprendendo a programar. Para exemplificar seu ponto, ele argumentou que, se as variáveis daqueles códigos fossem nomeadas apenas com termos genéricos como "x1", o estudante teria que pensar muito mais para decifrar a lógica. Ele concluiu destacando que, no início do aprendizado, a falta de nomes claros e de padronização pode se transformar em uma verdadeira barreira para o aluno.</t>
  </si>
  <si>
    <t>mais bem estruturado de maneira geral e mais direto ao ponto</t>
  </si>
  <si>
    <t>gostou um pouco mais desta versão pela simplicidade</t>
  </si>
  <si>
    <t>participante 14 (ÍMPAR)</t>
  </si>
  <si>
    <t>Multiplos parâmetros sem Clean Code</t>
  </si>
  <si>
    <t xml:space="preserve">Com base na transcrição do Participante 14, a entrevista demonstra como a intuição gerada por nomes de funções e a pressuposição de uma estrutura lógica conhecida aceleram a leitura do código. O participante avaliou a última tarefa (questão seis) como a mais fácil de entender. Ele justificou que bastou "bater o olho" no nome da função "ordenar" e identificar que havia uma "lista de números" envolvida para que ele soubesse exatamente do que se tratava a rotina, guiando-se pela própria lógica do problema. Em um panorama geral, o entrevistado reforçou que o nome das funções foi o elemento que mais contribuiu para facilitar a sua compreensão.  Em contrapartida, o ponto de dúvida e dificuldade ocorreu na segunda questão, que tratava de números primos. O participante explicou que a lógica de retorno (return) daquela função o deixou um pouco confuso, mencionando como justificativa o fato de fazer muito tempo que ele não interagia com a linguagem Python.  Apesar desse obstáculo com a sintaxe, a organização estrutural das soluções influenciou positivamente a interpretação do participante. Ele afirmou que, de maneira geral, a organização ajuda bastante, destacando a necessidade e a importância de realizar a indentação correta das estruturas para que uma pessoa consiga entender o código. Da mesma forma, os nomes das variáveis e das funções impactaram sua leitura de forma benéfica, permitindo que ele compreendesse o código de maneira geral e muito mais rápida.  Com base nessas percepções, o entrevistado declarou que as práticas de organização e padronização ajudam no aprendizado da programação. Ele argumentou que, quando os desenvolvedores seguem e saem com um padrão estabelecido, o processo se torna consideravelmente mais fácil, tanto na hora de construir o software quanto no momento de aprender a programar. </t>
  </si>
  <si>
    <t>Funções curtas com Clean Code</t>
  </si>
  <si>
    <t>muito mais descritiva e fácil de compreender pelos nomes de variáveis e funções</t>
  </si>
  <si>
    <t>Funções curtas sem Clean Code</t>
  </si>
  <si>
    <t>participante 15 (PAR)</t>
  </si>
  <si>
    <t>muito mais fácil de entender</t>
  </si>
  <si>
    <t>Com base na transcrição do Participante 15, a entrevista reforça o impacto da legibilidade da linguagem Python e como a desorganização estrutural pode mascarar o real propósito de um algoritmo. O participante apontou a primeira tarefa, que tratava do cálculo da média de três, como a mais fácil de compreender. A justificativa para essa escolha foi a familiaridade, visto que ele já havia lidado com esse tipo de lógica muitas vezes ao longo de sua trajetória. Em um panorama geral, o entrevistado destacou que o código estava muito bem organizado e pontuou que o Python, por si só, é uma linguagem que permite ao desenvolvedor entender muito bem o fluxo apenas ao realizar uma leitura superficial.  Por outro lado, o principal ponto de dúvida e dificuldade ocorreu na questão cinco, que envolvia a busca de um valor em uma lista ordenada. O participante explicou, no entanto, que o obstáculo não foi provocado pela escrita ou pela qualidade do código em si, mas sim pelo "fator lista". Ele admitiu ter esquecido temporariamente as regras de ordenação e o funcionamento do retorno do índice da posição, embora tenha compreendido posteriormente que a função retornava o índice em vez do valor procurado.  A organização do código influenciou positivamente a interpretação do participante, que afirmou que uma estrutura bem organizada torna a resolução dos problemas muito mais fácil e rápida. Para contrastar, ele relembrou uma ocasião em que viu um código totalmente desorganizado produzido por estudantes do primeiro período (P1), no qual não era possível sequer identificar o que o programa estava tentando buscar. Da mesma forma, ele confirmou que os nomes das variáveis e das funções impactaram positivamente a sua leitura, facilitando a compreensão do escopo.  Diante disso, o entrevistado defendeu veementemente que as práticas de organização e padronização são fundamentais para o aprendizado da programação. Ele argumentou que, devido ao nível de clareza estrutural dessas soluções, até mesmo uma pessoa que nunca viu programação, mas que possuísse uma noção mínima, conseguiria compreender o que o código faz. Em contrapartida, caso essa mesma pessoa se deparasse com um código bagunçado, ela seria incapaz de decifrar as ações executadas pelo programa.</t>
  </si>
  <si>
    <t>gostou por ser levemente mais fácil de entender</t>
  </si>
  <si>
    <t>participante 16 (ÍMPAR)</t>
  </si>
  <si>
    <t xml:space="preserve">Com base na transcrição do Participante 16, a entrevista enfatiza como o conhecimento prévio do programador se alia a nomes intuitivos e à organização do código para garantir a legibilidade e a manutenção do software. O participante apontou a primeira tarefa como a mais fácil de compreender. A justificativa apresentada foi a presença do conceito de estruturas condicionais (if/else), que é amplamente trabalhado de forma inicial nas disciplinas de algoritmos. Complementando isso, ele indicou que o fator que mais contribuiu para o seu entendimento foi a própria bagagem técnica acumulada ao longo do curso, o que permite identificar os conceitos à medida que se lê o código, citando novamente as condicionais como um exemplo bem familiar.  Por outro lado, o ponto que gerou dúvida ou dificuldade foi a questão cinco, que abordava a busca binária. O participante explicou que o obstáculo esteve relacionado ao fato de ele não se lembrar direito do funcionamento desse algoritmo específico. Apesar desse esquecimento conceitual, ele pontuou que a organização do código influenciou a experiência, classificando a solução como bem estruturadinha. Da mesma forma, os nomes das variáveis e das funções causaram um impacto positivo na leitura por serem bastante intuitivos, bem nomeados e irem direto ao ponto.  Diante disso, o entrevistado afirmou que as práticas de organização e padronização ajudam muito no aprendizado da programação. O argumento principal defendido por ele foi o ganho na legibilidade do código, o que facilita o trabalho coletivo, permitindo que outros programadores consigam entender a lógica, compreender o fluxo e resolver eventuais bugs com maior facilidade. </t>
  </si>
  <si>
    <t>a identação está mais organizada de se entender</t>
  </si>
  <si>
    <t>mais organizada e mais simples e direta ao ponto a função</t>
  </si>
  <si>
    <t>a lógica está mais correta e por isso mais fácil de entender, pela separação da lógica</t>
  </si>
  <si>
    <t>participante 17 (PAR)</t>
  </si>
  <si>
    <t>por ser uma função menor portanto achou mais fácil de entender</t>
  </si>
  <si>
    <t>O participante identificou como mais fácil a tarefa relacionada ao cálculo de fatorial, destacando que o código era curto, possuía poucas linhas e utilizava nomes claros para variáveis e funções. Segundo seu relato, a simples leitura da assinatura da função já permitia compreender rapidamente seu objetivo, reduzindo a necessidade de analisar detalhadamente a implementação. De forma geral, afirmou que a presença de nomes descritivos e variáveis bem definidas facilitou a interpretação de todas as tarefas apresentadas.
Durante a entrevista, destacou que elementos como organização visual, indentação e clareza na nomenclatura contribuíram para a compreensão dos códigos. Também mencionou que algoritmos conhecidos, como o Bubble Sort, tornavam a interpretação mais intuitiva devido à familiaridade prévia com a solução. Além disso, relatou que a identificação rápida do propósito das funções foi favorecida pelos nomes adotados, citando exemplos como funções de cálculo de média, verificação de números primos e cálculo de fatorial.
As principais dificuldades relatadas estiveram relacionadas às tarefas de busca binária e Bubble Sort. O participante afirmou que ambas apresentavam maior complexidade devido ao tamanho do código, considerando que trechos extensos exigiam mais atenção para acompanhar a lógica implementada. Apesar disso, ressaltou que os nomes das variáveis auxiliaram significativamente na interpretação dessas tarefas, compensando parcialmente a dificuldade causada pela extensão do código.
Ao ser questionado sobre a influência da organização do código, afirmou que a estrutura e a nomenclatura adotadas tiveram impacto direto na compreensão das soluções propostas. Também declarou acreditar que práticas de organização e padronização são importantes para o aprendizado de programação e para o desenvolvimento profissional, pois facilitam o entendimento do código por outras pessoas e favorecem o trabalho em equipe. Por fim, avaliou positivamente a participação no experimento, afirmando que a atividade foi mais simples do que inicialmente imaginava.</t>
  </si>
  <si>
    <t>melhores nomes de variáveis o que facilitou a compreensão da função</t>
  </si>
  <si>
    <t>mais organizada de modo geral, portanto pode-se entender o código inteiro de maneira mais fácil</t>
  </si>
  <si>
    <t>tempo médio com nomes claros</t>
  </si>
  <si>
    <t>multiplos parametros</t>
  </si>
  <si>
    <t>participante 18 (ÍMPAR)</t>
  </si>
  <si>
    <t>funções extensas</t>
  </si>
  <si>
    <t>acuracia</t>
  </si>
  <si>
    <t>dificuldade das tarefas</t>
  </si>
  <si>
    <t>O participante identificou a tarefa relacionada ao cálculo de fatorial como a mais fácil de compreender, justificando sua escolha pelo fato de o código ser mais enxuto e possuir menor complexidade estrutural. De forma geral, destacou que códigos menores tendem a ser mais fáceis de interpretar, enquanto estruturas com múltiplos níveis de aninhamento aumentam a dificuldade de compreensão.
Ao discutir os elementos que dificultaram a leitura do código, apontou a tarefa de ordenação de números como a mais complexa, atribuindo essa dificuldade principalmente à presença de laços de repetição aninhados. Segundo o participante, esse tipo de estrutura exige maior esforço para acompanhar o fluxo de execução e compreender a lógica implementada.
O participante também ressaltou a importância da organização visual do código, destacando que aspectos como espaçamento, identação e disposição adequada dos elementos contribuem para facilitar a interpretação. Além disso, afirmou que nomes descritivos para funções e variáveis auxiliam significativamente na compreensão, utilizando como exemplo a função "ehNumeroPrimo", cujo nome permite inferir que o retorno esperado é um valor booleano. Em contraste, observou que nomes genéricos, como variáveis representadas apenas por letras isoladas, dificultam a identificação de sua finalidade.
Quando questionado sobre práticas de organização e padronização, declarou acreditar que elas favorecem o aprendizado de programação por tornarem o código mais fácil de entender e reduzirem o tempo necessário para sua análise. Ao final da entrevista, avaliou positivamente sua participação no experimento, classificando a experiência como interessante.</t>
  </si>
  <si>
    <t>PORENTAGEM DE PREFERÊNCIA DE CÓDIGO</t>
  </si>
  <si>
    <t>bem mais descritivo então tornou a compreensão muito mais fácil</t>
  </si>
  <si>
    <t>mais descritiva e com menos parâmetros nas funções o que ajudou bastante</t>
  </si>
  <si>
    <t>gostou levemente mais dessa pela organização</t>
  </si>
  <si>
    <t>participante 19 (PAR)</t>
  </si>
  <si>
    <t>mais fácil de entender pela simplicidade da função</t>
  </si>
  <si>
    <t>O participante relatou que a tarefa relacionada à verificação de números primos foi a mais fácil de compreender. Segundo ele, a identificação da resposta ocorreu de forma rápida, com pouca necessidade de analisar detalhadamente o código, pois se baseou principalmente no resultado apresentado e no nome da função para interpretar seu propósito.
Ao ser questionado sobre os elementos que facilitaram a compreensão, destacou diretamente os nomes das funções e os resultados produzidos pelo código. Durante a resolução das tarefas, afirmou que costumava primeiro observar o nome da função e, em seguida, verificar as alternativas de resposta, buscando identificar rapidamente a solução sem a necessidade de examinar todo o corpo da implementação.
Em relação às dificuldades encontradas, mencionou a primeira tarefa como a que exigiu maior concentração, embora não tenha apontado trechos específicos do código como responsáveis pela dificuldade. O participante reforçou que os nomes das funções e variáveis foram fundamentais para sua compreensão, pois permitiram identificar rapidamente o objetivo do código e direcionar a busca pela resposta correta.
Quando questionado sobre a importância de práticas de organização e padronização, afirmou acreditar que essas práticas contribuem para o aprendizado de programação, pois facilitam a identificação do problema que o código procura resolver, tornando sua leitura e interpretação mais acessíveis. Ao final da entrevista, avaliou positivamente sua participação no experimento, classificando a experiência como satisfatória.</t>
  </si>
  <si>
    <t>melhor compreesnsão por causa dos nomes de variáveis</t>
  </si>
  <si>
    <t>bem mais fácil de entender</t>
  </si>
  <si>
    <t>participante 20 (ÍMPAR)</t>
  </si>
  <si>
    <t>1º semana de Maio</t>
  </si>
  <si>
    <t>2º semana de Maio</t>
  </si>
  <si>
    <t>3º semana de Maio</t>
  </si>
  <si>
    <t>preparação das tarefas</t>
  </si>
  <si>
    <t>O participante identificou a tarefa relacionada ao cálculo da média de três valores como a mais fácil de compreender. Segundo seu relato, a principal razão para essa facilidade foi a clareza com que o código descrevia cada etapa da solução, permitindo acompanhar o raciocínio de forma direta. Destacou que as informações estavam apresentadas de maneira clara e organizada, facilitando a identificação do objetivo do programa logo na primeira leitura.
Ao discutir os elementos que contribuíram para sua compreensão, enfatizou a importância da divisão da lógica em etapas bem definidas. Para o participante, códigos que apresentam o processamento de forma gradual e estruturada são mais fáceis de acompanhar do que soluções excessivamente concentradas ou que ocultam parte da lógica em uma única operação. Essa organização permitiu visualizar melhor o fluxo de execução e entender como cada parte contribuía para o resultado final.
A principal dificuldade relatada ocorreu na tarefa de busca binária. O participante afirmou que, em uma primeira leitura, a lógica apresentada pareceu confusa, dificultando a compreensão imediata do funcionamento do algoritmo. Contudo, destacou que, após analisar o código com mais atenção, conseguiu compreender adequadamente sua estrutura e funcionamento. A dificuldade esteve mais relacionada ao encadeamento lógico das operações do que à organização visual do código.
Em relação aos nomes de variáveis e funções, o participante afirmou que a utilização de nomes descritivos facilita significativamente a compreensão do código, pois permite identificar rapidamente a finalidade de cada elemento. Segundo seu relato, quando os nomes não refletem claramente sua função, torna-se necessário um esforço adicional para entender o propósito de cada variável ou procedimento.
Ao ser questionado sobre práticas de organização e padronização, declarou acreditar que elas contribuem para o aprendizado de programação por tornarem o código mais didático, prático e fácil de visualizar. Por fim, avaliou positivamente sua participação no experimento, classificando a experiência como interessante e satisfatória.</t>
  </si>
  <si>
    <t>levantamento dos alunos</t>
  </si>
  <si>
    <t>entrevistas</t>
  </si>
  <si>
    <t>TABELA DISPERSÃO</t>
  </si>
  <si>
    <t>DESVIO PADRÃO DE TEMPO</t>
  </si>
  <si>
    <t>DESVIO PADRÃO DE TENTATIVAS</t>
  </si>
  <si>
    <t>DESVIO PADRÃO DE DIFICULDADE</t>
  </si>
  <si>
    <t>por mais que seja maior ainda é mais fácil de entender</t>
  </si>
  <si>
    <t>participante 21 (PAR)</t>
  </si>
  <si>
    <t>leitura mais simples e código mais limpo de se entender</t>
  </si>
  <si>
    <t xml:space="preserve">Com base na transcrição do Participante 21, a entrevista aborda o impacto positivo de nomenclaturas descritivas, funções com responsabilidade única e a importância de um código limpo para leitores leigos. O participante identificou a primeira tarefa, que envolvia o cálculo de médias e a checagem de faltas, como a mais fácil de compreender. Ele explicou que a facilidade decorreu da lógica aplicada e da ambientação com o contexto universitário, o que tornou simples o acompanhamento das regras de aprovação, recuperação e reprovação dos alunos. Em termos gerais, os elementos que mais contribuíram para facilitar sua compreensão foram os nomes das variáveis e das funções.  Por outro lado, o entrevistado pontuou que sua maior dificuldade não esteve concentrada em uma questão específica, mas sim no esforço necessário para entender o processo de maneira geral, linha por linha. Ele destacou o desafio cognitivo de acompanhar cada uma das verificações, condições e trocas de valores que ocorriam dentro das variáveis. Apesar disso, o participante ressaltou que a organização estrutural é um fator que torna a interpretação consideravelmente mais fácil. Para exemplificar, ele observou que, se na tarefa do fatorial a função estivesse nomeada de forma abreviada como "fat", ou se o código trouxesse variáveis juntas e com nomes parecidos, a leitura e o entendimento seriam seriamente prejudicados.  O impacto das nomenclaturas foi considerado crucial pelo participante, que defendeu que uma variável com um nome bem explicado torna o código muito mais simples. Ele também associou a clareza dos nomes ao princípio de que cada função deve possuir um único objetivo, alertando que termos que gerem duplicidade de sentido dificultam a compreensão.  Diante dessas percepções, o participante afirmou que as práticas de organização e padronização são fundamentais para o aprendizado da programação. O argumento utilizado foi que o domínio de boas práticas ajuda o estudante a saber exatamente o que está fazendo, compreendendo onde cada variável se encaixa e qual o objetivo de cada função. Ele concluiu destacando o valor da legibilidade externa: quando o código é bem nomeado e padronizado, o processo de escrita se torna mais simples para o autor e, além disso, até mesmo uma pessoa sem conhecimento técnico em programação consegue "bater o olho" e compreender o que a solução está fazendo. </t>
  </si>
  <si>
    <t>melhor usabilidade e entendimento e possui menos parâmetros</t>
  </si>
  <si>
    <t>melhores nomeclaturas</t>
  </si>
  <si>
    <t>participante 22 (ÍMPAR)</t>
  </si>
  <si>
    <t xml:space="preserve">Com base na transcrição do Participante 22, a entrevista evidencia como a presença de variáveis bem definidas no escopo global e nomenclaturas claras aceleram o raciocínio lógico, reduzindo o tempo de interpretação. O participante considerou a primeira tarefa, que tratava de calcular a média de três, a mais fácil de compreender. A justificativa foi a clareza com que os limites foram estabelecidos no código: ao notar que o limite máximo de faltas era dez e que o segundo aluno possuía doze, ele conseguiu deduzir o resultado final de imediato por eliminação e lógica contextual, sem precisar demandar muito esforço cognitivo. O entrevistado apontou as variáveis do escopo global como o elemento que mais contribuiu para o seu entendimento, afirmando que por estarem muito bem definidas, ajudaram a determinar o desfecho do programa rapidamente.  Em contrapartida, o ponto que gerou real dúvida e dificuldade foi a segunda questão, referente à função de calcular se um número é primo. O participante admitiu não ter entendido bem o funcionamento e a lógica interna daquela função específica, o que demandou uma explicação detalhada por parte do entrevistador sobre o fluxo do laço de repetição e a contagem de divisores.  Apesar desse obstáculo conceitual na segunda tarefa, o participante confirmou que a organização do código influenciou positivamente sua interpretação. Ele ressaltou que as soluções apresentavam variáveis bem definidas, transmitindo a ideia exata do que o código propunha e do resultado que entregaria. Da mesma forma, os nomes das variáveis e funções causaram um forte impacto positivo, permitindo estruturar um raciocínio rápido. O entrevistado citou novamente o exemplo da variável que estipulava o limite de faltas como uma prova de que nomes explícitos direcionam a mente de quem lê para a conclusão correta de maneira mais fluida.  Diante disso, o participante demonstrou concordar integralmente que as práticas de organização e padronização auxiliam no aprendizado da programação. Sob a sua ótica, manter o código padronizado facilita tanto a rotina de quem programa quanto a de quem lê, tornando a interpretação muito mais rápida e fluida. Ele concluiu destacando que esse dinamismo visual e estrutural é o que permite ao desenvolvedor encontrar e solucionar erros com maior agilidade ou, até mesmo, implementar melhorias no código de forma eficiente. </t>
  </si>
  <si>
    <t>código mais alinhado e mais fácil de entender</t>
  </si>
  <si>
    <t>mais intuitivo de se entender pelos nomes de variáveis e funções</t>
  </si>
  <si>
    <t>código menor e de mais fácil interpretação</t>
  </si>
  <si>
    <t>participante 23 (PAR)</t>
  </si>
  <si>
    <t>condicionais mais organizadas e mais fáceis de entender</t>
  </si>
  <si>
    <t>Com base na transcrição do Participante 23, a entrevista ressalta como o excesso de estruturas condicionais aglomeradas pode confundir o leitor, enquanto a indentação e o uso de modelos de referência facilitam o aprendizado. O participante escolheu a terceira tarefa, que calculava o fatorial, como a mais fácil de compreender. A justificativa apontada foi a presença de espaçamentos adequados na formatação, o que impedia que as linhas ficassem muito juntas e tornava a leitura superior à de outros trechos onde as entradas e saídas estavam aglomeradas. O fator que mais contribuiu para o seu entendimento foi justamente essa separação do código, permitindo discernir visualmente a localização da função no topo e o agrupamento do laço for, elemento que o entrevistado identificou com o auxílio do entrevistador como a indentação.  Por outro lado, o principal ponto de dúvida e dificuldade ocorreu na primeira questão, referente ao cálculo da média de três e verificação de presença. O motivo do estranhamento e da confusão foi o excesso de estruturas if e else dispostas muito próximas e juntas umas das outras. Apesar desse ponto crítico na primeira tarefa, a organização do código influenciou positivamente a interpretação de modo geral, pois a indentação correta permitia enxergar o papel de cada parte, trabalhando em conjunto com os nomes explícitos de variáveis e funções. Esse impacto das nomenclaturas foi considerado positivo pelo participante por deixar claro o objetivo de cada bloco, como saber exatamente o que esperar de rotinas chamadas "encontrar o maior número" ou "calcular fatorial".  Diante disso, o entrevistado afirmou acreditar que as práticas de organização e padronização auxiliam no aprendizado da programação. O argumento defendido foi que a existência de um modelo a ser seguido padroniza as criações de outras pessoas e simplifica o estudo por meio de códigos alheios, servindo como um exemplo prático. Ele concluiu destacando que ter um padrão estabelecido para variáveis, funções e espaçamentos obrigatórios — como os recuos exigidos na linguagem Python — constitui algo de extrema importância para reconhecer o significado do código.</t>
  </si>
  <si>
    <t>melhores nomes de variavéis e funções</t>
  </si>
  <si>
    <t>simbologia do operador *= do python atrapalhou</t>
  </si>
  <si>
    <t>Aluno</t>
  </si>
  <si>
    <t>Período</t>
  </si>
  <si>
    <t>Grupo</t>
  </si>
  <si>
    <t>participante 24 (ÍMPAR)</t>
  </si>
  <si>
    <t>Quantidade</t>
  </si>
  <si>
    <t>%</t>
  </si>
  <si>
    <t>Arlisson Diogo</t>
  </si>
  <si>
    <t>8º</t>
  </si>
  <si>
    <t xml:space="preserve">par </t>
  </si>
  <si>
    <t>3º</t>
  </si>
  <si>
    <t xml:space="preserve">Com base na transcrição, a entrevista ressalta como o excesso de estruturas condicionais aglomeradas pode confundir o leitor, enquanto a indentação e o uso de modelos de referência facilitam o aprendizado. O participante escolheu a terceira tarefa, que calculava o fatorial, como a mais fácil de compreender. A justificativa apontada foi a presença de espaçamentos adequados na formatação, o que impedia que as linhas ficassem muito juntas e tornava a leitura superior à de outros trechos onde as entradas e saídas estavam aglomeradas. O fator que mais contribuiu para o seu entendimento foi justamente essa separação do código, permitindo discernir visualmente a localização da função no topo e o agrupamento do laço for, elemento que o entrevistado identificou com o auxílio do entrevistador como a indentação.  Por outro lado, o principal ponto de dúvida e dificuldade ocorreu na primeira questão, referente ao cálculo da média de três e verificação de presença. O motivo do estranhamento e da confusão foi o excesso de estruturas if e else dispostas muito próximas e juntas umas das outras. Apesar desse ponto crítico na primeira tarefa, a organização do código influenciou positivamente a interpretação de modo geral, pois a indentação correta permitia enxergar o papel de cada parte, trabalhando em conjunto com os nomes explícitos de variáveis e funções. Esse impacto das nomenclaturas foi considerado positivo pelo participante por deixar claro o objetivo de cada bloco, como saber exatamente o que esperar de rotinas chamadas "encontrar o maior número" ou "calcular fatorial".  Diante disso, o entrevistado afirmou acreditar que as práticas de organização e padronização auxiliam no aprendizado da programação. O argumento defendido foi que a existência de um modelo a ser seguido padroniza as criações de outras pessoas e simplifica o estudo por meio de códigos alheios, servindo como um exemplo prático. Ele concluiu destacando que ter um padrão estabelecido para variáveis, funções e espaçamentos obrigatórios — como os recuos exigidos na linguagem Python — constitui algo de extrema importância para reconhecer o significado do código. </t>
  </si>
  <si>
    <t>Arthur Ian</t>
  </si>
  <si>
    <t>9º</t>
  </si>
  <si>
    <t>ímpar</t>
  </si>
  <si>
    <t>4º</t>
  </si>
  <si>
    <t>melhor descrição dentro do código o que facilitou o entendimento</t>
  </si>
  <si>
    <t>Beatriz Alvez</t>
  </si>
  <si>
    <t>5º</t>
  </si>
  <si>
    <t>Beatriz Wandelery</t>
  </si>
  <si>
    <t>?</t>
  </si>
  <si>
    <t>6º</t>
  </si>
  <si>
    <t>Cecília Catarina</t>
  </si>
  <si>
    <t>7º</t>
  </si>
  <si>
    <t>Deglier Fernandes</t>
  </si>
  <si>
    <t>Eduardo Alves</t>
  </si>
  <si>
    <t>participante 25 (PAR)</t>
  </si>
  <si>
    <t>Erick Rafael</t>
  </si>
  <si>
    <t>mais descritiva o que facilitou a compreensão do código</t>
  </si>
  <si>
    <t>10º</t>
  </si>
  <si>
    <t>Com base na transcrição do Participante 25, a entrevista destaca como a clareza nas instruções finais do código e uma estrutura limpa ajudam o leitor a restabelecer o contexto, permitindo uma leitura dinâmica para compensar lapsos de memória. O participante considerou as tarefas três e seis as mais tranquilas de compreender, manifestando uma preferência especial pela sexta questão, que abordava a ordenação por bubble sort. A justificativa foi que o código deixava explícito o objetivo de pegar uma lista desordenada e ordená-la, bastando analisar as opções para identificar a sequência com os valores nas posições corretas. Sob a ótica do entrevistado, o elemento que mais facilitou a compreensão foi a presença de instruções claras no final do código especificando o que deveria ser feito. Esse arranjo permitiu que ele adotasse a estratégia de ler o desfecho primeiro para, em seguida, buscar o meio e o início do código para validar a coerência das informações.  Por outro lado, as dificuldades mencionadas pelo participante não foram provocadas pela qualidade do código em si, mas sim por fatores externos e pessoais. Ele explicou que sentiu dificuldade por fazer algum tempo que não revisava os conteúdos, o que causou o esquecimento de alguns detalhes, além de pontuar uma limitação pessoal relacionada à própria visão. Apesar disso, a organização estrutural do código influenciou positivamente a sua interpretação. O entrevistado relatou que, diante de trechos de que não se lembrava ou não entendia de imediato, a boa estrutura permitia avançar um pouco a leitura para captar o contexto adiante e, logo em seguida, compreender a lógica anterior. Os nomes das variáveis e funções também tiveram um impacto positivo, sendo descritos como elementos que ajudaram no processo a ponto de deixarem o propósito das rotinas "escancarado".  Diante dessas percepções, o participante confirmou que as práticas de organização e padronização são fundamentais para o aprendizado da programação. Ele defendeu que a organização deixa o código consideravelmente mais limpo e proporciona uma explicação muito mais simples. Para o entrevistado, manter esse padrão evita que a estrutura se torne confusa ou poluída com o uso de nomes sem sentido e excessivamente grandes, quando se poderia simplesmente adotar nomenclaturas encurtadas e compreensíveis em vez de apenas acumular elementos desnecessários. Ao final, a experiência de participar do experimento foi avaliada de maneira muito positiva, sendo classificada como bastante divertida, especialmente pela oportunidade de relembrar os conceitos.</t>
  </si>
  <si>
    <t>Esly Caetano</t>
  </si>
  <si>
    <t>Outros</t>
  </si>
  <si>
    <t>melhor explicado e mais fácil de entender</t>
  </si>
  <si>
    <t>por causa da familiaridade com o termo i dentro do for</t>
  </si>
  <si>
    <t>Everaldo</t>
  </si>
  <si>
    <t>total</t>
  </si>
  <si>
    <t>Francisca Daiane</t>
  </si>
  <si>
    <t>Francisco</t>
  </si>
  <si>
    <t>Gian Lucas</t>
  </si>
  <si>
    <t>Ianny</t>
  </si>
  <si>
    <t>Iara</t>
  </si>
  <si>
    <t>Jorge Longo</t>
  </si>
  <si>
    <t>participante 26 (ÍMPAR)</t>
  </si>
  <si>
    <t>José Guilherme</t>
  </si>
  <si>
    <t>José Matheus</t>
  </si>
  <si>
    <t>Lilianny Marinho</t>
  </si>
  <si>
    <t>Com base na transcrição do Participante 26, a entrevista ressalta como uma descrição minuciosa passo a passo e o alinhamento entre as palavras e a execução do algoritmo são determinantes para a legibilidade do código. O participante elegeu a última tarefa, referente à ordenação, como a mais fácil de compreender. A justificativa para essa escolha foi o fato de a rotina estar muito bem descrita passo a passo, permitindo entender com precisão o que estava sendo realizado em cada linha e etapa do código. Especificamente nessa questão seis, o fator que mais contribuiu para facilitar o entendimento foi o perfeito encaixe das palavras com a execução de cada instrução. O entrevistado exemplificou que, ao ler linhas que manipulavam elementos da lista ou do vetor (como o uso de "j + 1"), conseguia captar de imediato a ação pretendida, o que simplificou o processo de leitura.  Por outro lado, o ponto de maior dúvida e confusão ocorreu na quinta questão, que abordava a busca binária. O participante explicou que ficou perdido em relação à busca pelo resultado final porque interpretou que o algoritmo deveria buscar e retornar o valor contido dentro da lista, e não a sua posição (índice). Essa quebra de expectativa sobre o comportamento da função foi o que gerou o conflito em sua compreensão.  Apesar desse impasse na questão cinco, a organização estrutural do código influenciou positivamente a interpretação do participante. Ele destacou que a estrutura facilitou o entendimento por estar disposta exatamente na ordem em que deveria estar, com cada bloco de código funcionando de maneira lógica e adequada. Da mesma forma, os nomes das variáveis e funções causaram um impacto positivo marcante. O entrevistado pontuou que, quando as palavras são bem descritas, o leitor consegue decifrar com precisão o que elas representam dentro do fluxo do programa.  Diante disso, o participante demonstrou acreditar convictamente que as práticas de organização e padronização são essenciais para quem está aprendendo a programar. Ele concluiu afirmando que, se não fosse pelo nível de organização apresentado na execução daquelas soluções propostas no experimento, ele provavelmente não teria sido capaz de compreender o que o resultado de cada questão estava solicitando.</t>
  </si>
  <si>
    <t>Luanny Kelly</t>
  </si>
  <si>
    <t>concluinte</t>
  </si>
  <si>
    <t>Luka</t>
  </si>
  <si>
    <t>Marcelo</t>
  </si>
  <si>
    <t>Maria Camila</t>
  </si>
  <si>
    <t>Mayra</t>
  </si>
  <si>
    <t>Miguel Luan</t>
  </si>
  <si>
    <t>Samuel Marcos</t>
  </si>
  <si>
    <t>Sarah Simlmara</t>
  </si>
  <si>
    <t>Sávio Sayke</t>
  </si>
  <si>
    <t>Thiago</t>
  </si>
  <si>
    <t>Thulio Bezerra</t>
  </si>
  <si>
    <t>Vinícius Barbosa</t>
  </si>
  <si>
    <t>melhor lógica e organização o que contribuiu para uma melhor compreensão</t>
  </si>
  <si>
    <t>Well</t>
  </si>
  <si>
    <t>Yasmim Dantas</t>
  </si>
  <si>
    <t>participante 27 (PAR)</t>
  </si>
  <si>
    <t>variavéis globais ajudaram na interpretação do código</t>
  </si>
  <si>
    <t xml:space="preserve">Com base na transcrição do Participante 27, a entrevista evidencia como a familiaridade com os conceitos e o idioma influenciam a agilidade na leitura do código e evitam a dispersão cognitiva. A participante indicou a tarefa de calcular o fatorial como a mais fácil de compreender, justificando que, além de ser um algoritmo muito mais simples, ela já estava mais familiarizada com o conceito, o que tornou a estrutura mais fácil para não se perder durante a análise. Especificamente sobre os elementos do código que mais contribuíram para facilitar a sua compreensão, a entrevistada destacou a presença do laço de repetição.  Por outro lado, a tarefa de verificar se um número é primo foi apontada como o ponto de maior dificuldade no experimento. No entanto, ao analisar o motivo desse obstáculo, a participante ponderou que o problema não estava associado a um trecho específico ou à qualidade do código, mas sim à sua própria falta de atenção no momento da leitura.  Em relação à estrutura visual das soluções, a participante mencionou ter gostado de como o código foi organizado, confirmando que essa arrumação influenciou positivamente a sua interpretação. Da mesma forma, os nomes das variáveis e das funções causaram um impacto positivo e tornaram a leitura tranquila, fator que ela atribuiu diretamente ao uso do português nas nomenclaturas.  Diante dessas percepções, a entrevistada afirmou acreditar que as práticas de organização e padronização ajudam no aprendizado da programação. O argumento central apresentado por ela foi que a padronização constrói justamente uma relação de familiaridade com o código, e essa familiaridade é o que influencia e facilita o entendimento de quem estuda a matéria. O áudio foi interrompido antes que ela pudesse deixar sua avaliação sobre a experiência de participar do experimento. </t>
  </si>
  <si>
    <t>o código está mais limpo e mais fácil de entender</t>
  </si>
  <si>
    <t>participante 28 (ÍMPAR)</t>
  </si>
  <si>
    <t>Com base na transcrição do Participante 28, a entrevista reforça o quanto nomenclaturas autodeclarativas e uma lógica intuitiva aceleram a resolução de problemas, além de destacar a importância de seguir convenções para o desenvolvimento de códigos claros. O participante elegeu a primeira tarefa, que calculava a média de aprovação baseada no número de faltas, como a mais fácil de compreender. Ele justificou que a facilidade se deveu ao nome simples das variáveis e ao cálculo intuitivo, o que permitiu identificar a resposta em uma leitura rápida. Além disso, o participante utilizou uma estratégia de eliminação nas alternativas: ao notar de imediato que o aluno 2 estava reprovado por faltas, ele apenas filtrou a opção correspondente e calculou o resultado do aluno 1. Os elementos que mais contribuíram para sua compreensão geral foram os nomes intuitivos das variáveis, as funções autodeclarativas e os métodos bem desenhados.
Por outro lado, o ponto que gerou dúvida e dificuldade foi a tarefa de calcular o número primo. O entrevistado explicou que sua intuição inicial sobre os valores de teste (7 e 10) sugeria um resultado invertido, mas, ao analisar o código detalhadamente, percebeu que a lógica era diferente devido à presença de uma estrutura que somava "mais um" ao número. Foi apenas após essa leitura minuciosa que ele compreendeu a real saída do algoritmo.
A organização estrutural e a indentação do código influenciaram positivamente a interpretação do participante. Ele pontuou que a formatação facilitou a visualização espacial, o acompanhamento do passo a passo das rotinas e o entendimento de onde ocorria a chamada de cada função. Do mesmo modo, os nomes das variáveis e funções causaram um forte impacto positivo, sendo classificados como muito declarativos, claros e precisos em relação ao que o programa executava.
Diante disso, o participante afirmou acreditar que as práticas de organização e padronização são fundamentais para o aprendizado da programação. O argumento defendido foi que o processo de aprendizado técnico se baseia em seguir os padrões e convenções já estabelecidos no mundo da programação. Ele concluiu destacando que internalizar as melhores práticas e os padrões organizacionais da linguagem é o que ajuda o estudante a construir códigos bons, concisos, coerentes e claros. Ao fim, o participante avaliou a experiência de forma positiva, relatando que gostou do experimento por ser intuitivo e por desafiar sua lógica a compreender o comportamento do código além da mera descrição das variáveis.</t>
  </si>
  <si>
    <t>mais explicito e intuitivo, além de uma boa organização do código</t>
  </si>
  <si>
    <t>mais enxuto o que tornou ele mais fácil de entender</t>
  </si>
  <si>
    <t>participante 29 (PAR)</t>
  </si>
  <si>
    <t>uma melhor compreensão do código</t>
  </si>
  <si>
    <t xml:space="preserve">Com base na transcrição do Participante 29, a entrevista reforça o quanto os nomes autodescritivos e uma estrutura bem delineada facilitam a leitura imediata do código, reduzindo o esforço necessário para decifrar a lógica do programa. O participante escolheu a sexta tarefa (de ordenação) como a mais fácil de compreender. A justificativa apresentada foi a exatidão do código ao propor a ordenação dos elementos, deixando tudo correto na teoria. O elemento que mais contribuiu para facilitar o seu entendimento, tanto nessa questão quanto de modo geral, foram os nomes autodescritivos das variáveis.  Por outro lado, os pontos que geraram dúvida e dificuldade estiveram concentrados na primeira e na segunda tarefa. Na primeira questão, o participante apontou que não havia entendido muito bem o significado e o propósito da variável proj — que o entrevistador explicou posteriormente ser uma nota bônus de projeto. Já na segunda questão, ele admitiu que realmente não tinha compreendido como o código iria funcionar, necessitando de uma explicação prévia do entrevistador para sanar a dúvida.  Apesar dessas barreiras pontuais, a organização do código influenciou positivamente a interpretação do participante. Ele destacou as tarefas quatro e seis como exemplos de códigos muito bem estruturados, afirmando que a boa disposição permitia "bater o olho" e compreender de imediato o que deveria acontecer no fluxo do programa. Da mesma forma, os nomes das variáveis e funções causaram um impacto direto e benéfico na leitura por conta de seu caráter autodescritivo.  Diante disso, o entrevistado afirmou acreditar que as práticas de organização e padronização auxiliam no aprendizado da programação. O argumento central foi a simplicidade gerada pela clareza visual: quando um código está organizado, o estudante consegue olhar e entender sua finalidade de forma muito mais fácil, ao passo que se deparar com uma estrutura totalmente desorganizada exige um esforço muito maior para tentar decifrar o significado do que está acontecendo. O áudio foi interrompido antes que o participante pudesse detalhar a sua avaliação sobre a experiência no experimento. </t>
  </si>
  <si>
    <t>participante 30 (ÍMPAR)</t>
  </si>
  <si>
    <t>Qual das tarefas achou a mais fácil de entender? Por quê?</t>
  </si>
  <si>
    <t xml:space="preserve">Com base na transcrição do Participante 30, a entrevista reforça como nomes sugestivos de funções reduzem a carga cognitiva inicial e como estruturas organizadas servem de guia instrucional para iniciantes.  O participante considerou a última tarefa (questão seis, de ordenação) a mais fácil de compreender. Ele justificou sua escolha explicando que a própria definição do nome da função já deixava explícito que o objetivo era ordenar. A partir disso, o participante deduziu que se tratava de uma ordenação crescente e apenas acompanhou os números fornecidos na lista para chegar à resposta. Os elementos que mais contribuíram para facilitar sua compreensão foram o nome descritivo da função de ordenação e a própria disposição dos números na lista de teste.  Por outro lado, o ponto de maior dúvida e dificuldade ocorreu na quinta questão, que tratava de busca binária. O entrevistado explicou que esse algoritmo demandou um esforço maior de raciocínio devido à presença de várias estruturas condicionais, o que acabou gerando mais hesitação durante a leitura.  Apesar do desafio na questão cinco, a organização do código influenciou positivamente a interpretação do participante. Ele afirmou que o impacto foi bom, pois as soluções estavam bem estruturadas e, apenas pela ordenação visual e espacial do código, já era possível deduzir a lógica de funcionamento do programa. Da mesma forma, os nomes das variáveis e funções causaram um impacto significativo, atuando como um indicador que sugere o que a rotina faz e fornecendo uma ideia prévia de como o código se comportará.  Diante dessas percepções, o participante confirmou que as práticas de organização e padronização são de grande ajuda no aprendizado da programação. O argumento central apresentado por ele foi que, no início dos estudos, um código bem ordenado funciona como um verdadeiro guia para o estudante. Ele concluiu apontando que, quando não há esse nível de organização nas soluções apresentadas ao aluno, o processo de aprendizagem posterior se torna consideravelmente mais difícil. </t>
  </si>
  <si>
    <t>Quais elementos do código mais contribuíram para facilitar sua compreensão?</t>
  </si>
  <si>
    <t>Houve algum trecho que gerou dúvida ou dificuldade? Qual?</t>
  </si>
  <si>
    <t>A organização do código influenciou sua interpretação da solução? De que forma?</t>
  </si>
  <si>
    <t>Os nomes de variáveis e funções impactaram sua compreensão? Como?</t>
  </si>
  <si>
    <t>Você acredita que práticas de organização e padronização ajudam no aprendizado de programação? Por quê?</t>
  </si>
  <si>
    <t>Como você avalia a experiência de participar do experimento?</t>
  </si>
  <si>
    <t>mais simples por tanto mais fácil de chegar na solução</t>
  </si>
  <si>
    <t>participante 31 (PAR)</t>
  </si>
  <si>
    <t>variavéis globais ajudaram bastante na interpretação do código</t>
  </si>
  <si>
    <t>Com base na transcrição do Participante 31, a entrevista traz uma perspectiva interessante e ligeiramente divergente sobre o tamanho das nomenclaturas, alertando como nomes excessivamente longos podem poluir o campo visual e provocar dispersão na leitura.  O participante elegeu a tarefa de verificar o número primo como a mais fácil de compreender. A justificativa apresentada foi a ausência de um "amontoado gigante de variáveis", o que, sob a sua ótica, tornou a leitura do algoritmo consideravelmente superior. Complementando esse ponto, ele reforçou que o elemento que mais contribuiu para o seu entendimento foi justamente o fato de o código estar mais limpo e legível nessa questão específica.  Em contrapartida, o ponto de maior dificuldade e dúvida ocorreu de forma geral, mas com menção direta à tarefa de buscar um valor (busca binária/busca valor). O participante explicou que o obstáculo foi provocado pela falta de atenção gerada pelo próprio estilo do código. Por conter muitas variáveis com nomes grandes, ele acabou se perdendo no fluxo do programa e admitiu ter, inclusive, pulado algumas linhas durante a leitura.  Essa percepção influenciou diretamente a visão do participante sobre os nomes das variáveis e funções. Ao contrário de outros entrevistados, ele achou as nomenclaturas muito extensas e afirmou que diminuiria bastante o tamanho dos nomes para conseguir melhorar a qualidade da leitura. Apesar dessa ressalva quanto à extensão dos termos, ele confirmou que a organização visual influencia a interpretação da solução, destacando que um código mais limpo ajuda bastante no processo de decifrar o algoritmo.  Diante disso, o participante afirmou acreditar que as práticas de organização e padronização auxiliam no aprendizado da programação. O argumento central defendido por ele foi a previsibilidade: quando o estudante lida com algo devidamente padronizado, ele já inicia a leitura sabendo exatamente o que esperar do comportamento e do desfecho do código. O áudio foi interrompido antes que a avaliação sobre a experiência no experimento pudesse ser concluída.</t>
  </si>
  <si>
    <t>gostou um poico mais desta versão</t>
  </si>
  <si>
    <t>participante 32 (ÍMPAR)</t>
  </si>
  <si>
    <t>Com base na transcrição do Participante 32, a entrevista evidencia como a presença de termos descritivos poupa esforço cognitivo ao evitar que o desenvolvedor precise ler todo o corpo do código para deduzir o seu comportamento.  O participante selecionou a primeira tarefa, que envolvia calcular a média de três notas, como a mais fácil de compreender. Ele justificou que a solução "não tem mistério", pois as operações de soma e divisão por três deixam claro o cálculo da média, e a estrutura de condicionais (ifs) permite entender perfeitamente o impacto da quantidade de faltas nas regras de aprovação e recuperação. Em âmbito geral, os elementos que mais contribuíram para facilitar sua compreensão foram os nomes das variáveis. O entrevistado detalhou que termos altamente descritivos, como nota_minima_recuperacao e nota_minima_aprovacao, revelam o propósito do código imediatamente; por outro lado, quando as variáveis são genéricas ("só um negocinho"), o leitor é forçado a decifrar a lógica por conta própria.  Essa necessidade de "adivinhar" o fluxo foi justamente a raiz de sua maior dificuldade, concentrada na questão cinco, que tratava da busca binária. O participante relatou que achou o código confuso e teve dificuldades com a questão como um todo porque ela não explicava o que estava fazendo.  Essa mesma crítica se estendeu à análise sobre o impacto da organização e das nomenclaturas de funções. Ao ser questionado sobre a influência da organização, o participante reiterou o ponto anterior, queixando-se do excesso de informações sem explicações claras. Sobre os nomes das funções, ele citou o exemplo do comando defina busca para ilustrar seu descontentamento: o termo levanta o questionamento "busca do quê?", obrigando o leitor a analisar minuciosamente as linhas internas para entender o objetivo da rotina, em vez de captar a ideia apenas com a leitura do nome da função.  Diante disso, o entrevistado confirmou que as práticas de organização e padronização são de grande valia no aprendizado da programação. O argumento central foi que, ao contar com variáveis padronizadas que dispensam a leitura integral do código para revelar sua função, o estudante consegue aprender melhor e deduzir os resultados com maior fluidez, sem precisar ficar retrocedendo para compreender o texto. Por fim, o participante avaliou a experiência de participar do experimento como boa.</t>
  </si>
  <si>
    <t>nome claro</t>
  </si>
  <si>
    <t>múltiplos parâmetros</t>
  </si>
  <si>
    <t>fatorial T3</t>
  </si>
  <si>
    <t>numero primo T2</t>
  </si>
  <si>
    <t>bubble sort T6</t>
  </si>
  <si>
    <t>media de tres T1</t>
  </si>
  <si>
    <t>encontrar valor T5</t>
  </si>
  <si>
    <t>maior número T4</t>
  </si>
  <si>
    <t>mais descritivo e intuitivos os nomes de funções e variavéis</t>
  </si>
  <si>
    <t>mais explicaitvo e fácil de entender</t>
  </si>
  <si>
    <t/>
  </si>
  <si>
    <t>AVERAGE of tempo</t>
  </si>
  <si>
    <t>AVERAGE of tentativas</t>
  </si>
  <si>
    <t>AVERAGE of avaliar dificuldade 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</si>
</sst>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</font>
    <font>
      <sz val="10"/>
      <color rgb="FFFFFFFF"/>
      <name val="Arial"/>
    </font>
    <font>
      <sz val="10"/>
      <color theme="1"/>
      <name val="Arial"/>
    </font>
    <font>
      <sz val="10"/>
      <color rgb="FFFFFFFF"/>
      <name val="Arial"/>
      <scheme val="minor"/>
    </font>
    <font>
      <sz val="10"/>
      <color rgb="FF000000"/>
      <name val="Arial"/>
      <scheme val="minor"/>
    </font>
    <font>
      <sz val="16"/>
      <color theme="1"/>
      <name val="Arial"/>
    </font>
  </fonts>
  <fills count="19">
    <fill>
      <patternFill patternType="none"/>
    </fill>
    <fill>
      <patternFill patternType="gray125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999999"/>
        <bgColor rgb="FF999999"/>
      </patternFill>
    </fill>
    <fill>
      <patternFill patternType="solid">
        <fgColor rgb="FFDDF2F0"/>
        <bgColor rgb="FFDDF2F0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A2C4C9"/>
        <bgColor rgb="FFA2C4C9"/>
      </patternFill>
    </fill>
    <fill>
      <patternFill patternType="solid">
        <fgColor rgb="FF00FF00"/>
        <bgColor rgb="FF00FF00"/>
      </patternFill>
    </fill>
    <fill>
      <patternFill patternType="solid">
        <fgColor rgb="FF8BC34A"/>
        <bgColor rgb="FF8BC34A"/>
      </patternFill>
    </fill>
    <fill>
      <patternFill patternType="solid">
        <fgColor rgb="FFA4C2F4"/>
        <bgColor rgb="FFA4C2F4"/>
      </patternFill>
    </fill>
    <fill>
      <patternFill patternType="solid">
        <fgColor rgb="FF76A5AF"/>
        <bgColor rgb="FF76A5AF"/>
      </patternFill>
    </fill>
    <fill>
      <patternFill patternType="solid">
        <fgColor rgb="FF0B5394"/>
        <bgColor rgb="FF0B5394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8093B3"/>
      </bottom>
      <diagonal/>
    </border>
    <border>
      <left/>
      <right style="thin">
        <color rgb="FFFFFFFF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87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3" borderId="0" xfId="0" applyFont="1" applyFill="1" applyAlignment="1">
      <alignment horizontal="center"/>
    </xf>
    <xf numFmtId="0" fontId="1" fillId="0" borderId="0" xfId="0" applyFont="1" applyAlignment="1"/>
    <xf numFmtId="2" fontId="1" fillId="3" borderId="0" xfId="0" applyNumberFormat="1" applyFont="1" applyFill="1" applyAlignment="1"/>
    <xf numFmtId="0" fontId="1" fillId="3" borderId="0" xfId="0" applyFont="1" applyFill="1"/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/>
    <xf numFmtId="0" fontId="1" fillId="3" borderId="0" xfId="0" applyFont="1" applyFill="1" applyAlignment="1">
      <alignment horizontal="center" wrapText="1"/>
    </xf>
    <xf numFmtId="2" fontId="2" fillId="4" borderId="1" xfId="0" applyNumberFormat="1" applyFont="1" applyFill="1" applyBorder="1" applyAlignment="1"/>
    <xf numFmtId="0" fontId="1" fillId="3" borderId="0" xfId="0" applyFont="1" applyFill="1" applyAlignment="1">
      <alignment horizontal="center"/>
    </xf>
    <xf numFmtId="2" fontId="3" fillId="5" borderId="1" xfId="0" applyNumberFormat="1" applyFont="1" applyFill="1" applyBorder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5" borderId="1" xfId="0" applyFont="1" applyFill="1" applyBorder="1" applyAlignment="1"/>
    <xf numFmtId="10" fontId="1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2" fontId="4" fillId="6" borderId="2" xfId="0" applyNumberFormat="1" applyFont="1" applyFill="1" applyBorder="1" applyAlignment="1"/>
    <xf numFmtId="0" fontId="1" fillId="0" borderId="0" xfId="0" applyFont="1" applyAlignment="1">
      <alignment vertical="center"/>
    </xf>
    <xf numFmtId="2" fontId="4" fillId="3" borderId="0" xfId="0" applyNumberFormat="1" applyFont="1" applyFill="1" applyAlignment="1">
      <alignment horizontal="right"/>
    </xf>
    <xf numFmtId="0" fontId="1" fillId="8" borderId="0" xfId="0" applyFont="1" applyFill="1"/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/>
    </xf>
    <xf numFmtId="0" fontId="1" fillId="0" borderId="0" xfId="0" applyFont="1"/>
    <xf numFmtId="2" fontId="1" fillId="0" borderId="0" xfId="0" applyNumberFormat="1" applyFont="1"/>
    <xf numFmtId="2" fontId="1" fillId="0" borderId="0" xfId="0" applyNumberFormat="1" applyFont="1"/>
    <xf numFmtId="0" fontId="1" fillId="9" borderId="0" xfId="0" applyFont="1" applyFill="1" applyAlignment="1"/>
    <xf numFmtId="0" fontId="1" fillId="9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9" borderId="0" xfId="0" applyFont="1" applyFill="1" applyAlignment="1">
      <alignment wrapText="1"/>
    </xf>
    <xf numFmtId="0" fontId="1" fillId="8" borderId="0" xfId="0" applyFont="1" applyFill="1" applyAlignment="1"/>
    <xf numFmtId="0" fontId="1" fillId="0" borderId="0" xfId="0" applyFont="1" applyAlignment="1"/>
    <xf numFmtId="0" fontId="1" fillId="8" borderId="0" xfId="0" applyFont="1" applyFill="1" applyAlignment="1">
      <alignment wrapText="1"/>
    </xf>
    <xf numFmtId="0" fontId="4" fillId="6" borderId="2" xfId="0" applyFont="1" applyFill="1" applyBorder="1" applyAlignment="1"/>
    <xf numFmtId="0" fontId="1" fillId="8" borderId="0" xfId="0" applyFont="1" applyFill="1" applyAlignment="1">
      <alignment horizontal="center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9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3" borderId="0" xfId="0" applyFont="1" applyFill="1" applyAlignment="1">
      <alignment horizontal="center"/>
    </xf>
    <xf numFmtId="10" fontId="1" fillId="0" borderId="0" xfId="0" applyNumberFormat="1" applyFont="1"/>
    <xf numFmtId="0" fontId="1" fillId="0" borderId="0" xfId="0" applyFont="1" applyAlignment="1">
      <alignment horizontal="center"/>
    </xf>
    <xf numFmtId="0" fontId="4" fillId="8" borderId="0" xfId="0" applyFont="1" applyFill="1" applyAlignment="1"/>
    <xf numFmtId="0" fontId="6" fillId="0" borderId="0" xfId="0" applyFont="1"/>
    <xf numFmtId="10" fontId="1" fillId="0" borderId="0" xfId="0" applyNumberFormat="1" applyFont="1" applyAlignment="1">
      <alignment horizontal="center"/>
    </xf>
    <xf numFmtId="10" fontId="1" fillId="3" borderId="0" xfId="0" applyNumberFormat="1" applyFont="1" applyFill="1" applyAlignment="1">
      <alignment horizontal="center"/>
    </xf>
    <xf numFmtId="0" fontId="1" fillId="10" borderId="0" xfId="0" applyFont="1" applyFill="1" applyAlignment="1"/>
    <xf numFmtId="0" fontId="1" fillId="11" borderId="0" xfId="0" applyFont="1" applyFill="1" applyAlignment="1"/>
    <xf numFmtId="0" fontId="1" fillId="12" borderId="0" xfId="0" applyFont="1" applyFill="1"/>
    <xf numFmtId="0" fontId="1" fillId="13" borderId="0" xfId="0" applyFont="1" applyFill="1" applyAlignment="1"/>
    <xf numFmtId="0" fontId="1" fillId="13" borderId="0" xfId="0" applyFont="1" applyFill="1"/>
    <xf numFmtId="0" fontId="1" fillId="14" borderId="0" xfId="0" applyFont="1" applyFill="1" applyAlignment="1"/>
    <xf numFmtId="0" fontId="1" fillId="15" borderId="0" xfId="0" applyFont="1" applyFill="1" applyAlignment="1"/>
    <xf numFmtId="9" fontId="1" fillId="0" borderId="0" xfId="0" applyNumberFormat="1" applyFont="1"/>
    <xf numFmtId="0" fontId="5" fillId="16" borderId="0" xfId="0" applyFont="1" applyFill="1" applyAlignment="1"/>
    <xf numFmtId="0" fontId="5" fillId="16" borderId="0" xfId="0" applyFont="1" applyFill="1"/>
    <xf numFmtId="9" fontId="5" fillId="16" borderId="0" xfId="0" applyNumberFormat="1" applyFont="1" applyFill="1"/>
    <xf numFmtId="0" fontId="7" fillId="0" borderId="0" xfId="0" applyFont="1" applyAlignment="1">
      <alignment horizontal="left" vertical="center" wrapText="1"/>
    </xf>
    <xf numFmtId="0" fontId="5" fillId="17" borderId="0" xfId="0" applyFont="1" applyFill="1" applyAlignment="1"/>
    <xf numFmtId="0" fontId="1" fillId="18" borderId="0" xfId="0" applyFont="1" applyFill="1" applyAlignment="1"/>
    <xf numFmtId="0" fontId="5" fillId="7" borderId="0" xfId="0" applyFont="1" applyFill="1" applyAlignment="1"/>
    <xf numFmtId="0" fontId="0" fillId="0" borderId="0" xfId="0" applyFont="1" applyAlignment="1"/>
    <xf numFmtId="0" fontId="1" fillId="3" borderId="0" xfId="0" applyFont="1" applyFill="1" applyAlignment="1">
      <alignment horizontal="left" wrapText="1"/>
    </xf>
    <xf numFmtId="0" fontId="1" fillId="8" borderId="0" xfId="0" applyFont="1" applyFill="1" applyAlignment="1">
      <alignment wrapText="1"/>
    </xf>
    <xf numFmtId="0" fontId="0" fillId="0" borderId="3" xfId="0" applyFont="1" applyBorder="1" applyAlignment="1"/>
    <xf numFmtId="0" fontId="0" fillId="0" borderId="3" xfId="0" pivotButton="1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3" xfId="0" applyNumberFormat="1" applyFont="1" applyBorder="1" applyAlignment="1"/>
    <xf numFmtId="0" fontId="0" fillId="0" borderId="6" xfId="0" applyNumberFormat="1" applyFont="1" applyBorder="1" applyAlignment="1"/>
    <xf numFmtId="0" fontId="0" fillId="0" borderId="7" xfId="0" applyNumberFormat="1" applyFont="1" applyBorder="1" applyAlignment="1"/>
    <xf numFmtId="0" fontId="0" fillId="0" borderId="8" xfId="0" applyFont="1" applyBorder="1" applyAlignment="1"/>
    <xf numFmtId="0" fontId="0" fillId="0" borderId="8" xfId="0" applyNumberFormat="1" applyFont="1" applyBorder="1" applyAlignment="1"/>
    <xf numFmtId="0" fontId="0" fillId="0" borderId="0" xfId="0" applyNumberFormat="1" applyFont="1" applyAlignment="1"/>
    <xf numFmtId="0" fontId="0" fillId="0" borderId="9" xfId="0" applyNumberFormat="1" applyFont="1" applyBorder="1" applyAlignment="1"/>
    <xf numFmtId="0" fontId="0" fillId="0" borderId="10" xfId="0" applyFont="1" applyBorder="1" applyAlignment="1"/>
    <xf numFmtId="0" fontId="0" fillId="0" borderId="10" xfId="0" applyNumberFormat="1" applyFont="1" applyBorder="1" applyAlignment="1"/>
    <xf numFmtId="0" fontId="0" fillId="0" borderId="11" xfId="0" applyNumberFormat="1" applyFont="1" applyBorder="1" applyAlignment="1"/>
    <xf numFmtId="0" fontId="0" fillId="0" borderId="12" xfId="0" applyNumberFormat="1" applyFont="1" applyBorder="1" applyAlignment="1"/>
  </cellXfs>
  <cellStyles count="1">
    <cellStyle name="Normal" xfId="0" builtinId="0"/>
  </cellStyles>
  <dxfs count="34">
    <dxf>
      <fill>
        <patternFill patternType="solid">
          <fgColor rgb="FFDDF2F0"/>
          <bgColor rgb="FFDDF2F0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13">
    <tableStyle name="dados-style" pivot="0" count="3" xr9:uid="{00000000-0011-0000-FFFF-FFFF00000000}">
      <tableStyleElement type="headerRow" dxfId="33"/>
      <tableStyleElement type="firstRowStripe" dxfId="32"/>
      <tableStyleElement type="secondRowStripe" dxfId="31"/>
    </tableStyle>
    <tableStyle name="base dados-style" pivot="0" count="3" xr9:uid="{00000000-0011-0000-FFFF-FFFF01000000}">
      <tableStyleElement type="headerRow" dxfId="30"/>
      <tableStyleElement type="firstRowStripe" dxfId="29"/>
      <tableStyleElement type="secondRowStripe" dxfId="28"/>
    </tableStyle>
    <tableStyle name="estatisticas-style" pivot="0" count="3" xr9:uid="{00000000-0011-0000-FFFF-FFFF02000000}">
      <tableStyleElement type="headerRow" dxfId="27"/>
      <tableStyleElement type="firstRowStripe" dxfId="26"/>
      <tableStyleElement type="secondRowStripe" dxfId="25"/>
    </tableStyle>
    <tableStyle name="dados-style 2" pivot="0" count="2" xr9:uid="{00000000-0011-0000-FFFF-FFFF03000000}">
      <tableStyleElement type="firstRowStripe" dxfId="24"/>
      <tableStyleElement type="secondRowStripe" dxfId="23"/>
    </tableStyle>
    <tableStyle name="estatisticas-style 2" pivot="0" count="3" xr9:uid="{00000000-0011-0000-FFFF-FFFF04000000}">
      <tableStyleElement type="headerRow" dxfId="22"/>
      <tableStyleElement type="firstRowStripe" dxfId="21"/>
      <tableStyleElement type="secondRowStripe" dxfId="20"/>
    </tableStyle>
    <tableStyle name="dados-style 3" pivot="0" count="2" xr9:uid="{00000000-0011-0000-FFFF-FFFF05000000}">
      <tableStyleElement type="firstRowStripe" dxfId="19"/>
      <tableStyleElement type="secondRowStripe" dxfId="18"/>
    </tableStyle>
    <tableStyle name="base dados-style 2" pivot="0" count="4" xr9:uid="{00000000-0011-0000-FFFF-FFFF06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estatisticas-style 3" pivot="0" count="3" xr9:uid="{00000000-0011-0000-FFFF-FFFF07000000}">
      <tableStyleElement type="headerRow" dxfId="13"/>
      <tableStyleElement type="firstRowStripe" dxfId="12"/>
      <tableStyleElement type="secondRowStripe" dxfId="11"/>
    </tableStyle>
    <tableStyle name="estatisticas-style 4" pivot="0" count="3" xr9:uid="{00000000-0011-0000-FFFF-FFFF08000000}">
      <tableStyleElement type="headerRow" dxfId="10"/>
      <tableStyleElement type="firstRowStripe" dxfId="9"/>
      <tableStyleElement type="secondRowStripe" dxfId="8"/>
    </tableStyle>
    <tableStyle name="estatisticas-style 5" pivot="0" count="2" xr9:uid="{00000000-0011-0000-FFFF-FFFF09000000}">
      <tableStyleElement type="firstRowStripe" dxfId="7"/>
      <tableStyleElement type="secondRowStripe" dxfId="6"/>
    </tableStyle>
    <tableStyle name="estatisticas-style 6" pivot="0" count="2" xr9:uid="{00000000-0011-0000-FFFF-FFFF0A000000}">
      <tableStyleElement type="firstRowStripe" dxfId="5"/>
      <tableStyleElement type="secondRowStripe" dxfId="4"/>
    </tableStyle>
    <tableStyle name="estatisticas-style 7" pivot="0" count="2" xr9:uid="{00000000-0011-0000-FFFF-FFFF0B000000}">
      <tableStyleElement type="firstRowStripe" dxfId="3"/>
      <tableStyleElement type="secondRowStripe" dxfId="2"/>
    </tableStyle>
    <tableStyle name="perguntas-style" pivot="0" count="2" xr9:uid="{00000000-0011-0000-FFFF-FFFF0C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Médio por Tarefa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estatisticas!$B$6</c:f>
              <c:strCache>
                <c:ptCount val="1"/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estatisticas!$A$7:$A$18</c:f>
              <c:strCache>
                <c:ptCount val="12"/>
                <c:pt idx="0">
                  <c:v>tarefas</c:v>
                </c:pt>
                <c:pt idx="1">
                  <c:v>1C</c:v>
                </c:pt>
                <c:pt idx="2">
                  <c:v>1S</c:v>
                </c:pt>
                <c:pt idx="3">
                  <c:v>2C</c:v>
                </c:pt>
                <c:pt idx="4">
                  <c:v>2S</c:v>
                </c:pt>
                <c:pt idx="5">
                  <c:v>3C</c:v>
                </c:pt>
                <c:pt idx="6">
                  <c:v>3S</c:v>
                </c:pt>
                <c:pt idx="7">
                  <c:v>4C</c:v>
                </c:pt>
                <c:pt idx="8">
                  <c:v>4S</c:v>
                </c:pt>
                <c:pt idx="9">
                  <c:v>5C</c:v>
                </c:pt>
                <c:pt idx="10">
                  <c:v>5S</c:v>
                </c:pt>
                <c:pt idx="11">
                  <c:v>6C</c:v>
                </c:pt>
              </c:strCache>
            </c:strRef>
          </c:cat>
          <c:val>
            <c:numRef>
              <c:f>estatisticas!$B$7:$B$18</c:f>
              <c:numCache>
                <c:formatCode>General</c:formatCode>
                <c:ptCount val="12"/>
                <c:pt idx="0">
                  <c:v>0</c:v>
                </c:pt>
                <c:pt idx="1">
                  <c:v>87.6</c:v>
                </c:pt>
                <c:pt idx="2">
                  <c:v>150.5</c:v>
                </c:pt>
                <c:pt idx="3">
                  <c:v>87.2</c:v>
                </c:pt>
                <c:pt idx="4">
                  <c:v>88.5625</c:v>
                </c:pt>
                <c:pt idx="5">
                  <c:v>61.666666666666664</c:v>
                </c:pt>
                <c:pt idx="6">
                  <c:v>37.75</c:v>
                </c:pt>
                <c:pt idx="7">
                  <c:v>48.4375</c:v>
                </c:pt>
                <c:pt idx="8">
                  <c:v>52.8</c:v>
                </c:pt>
                <c:pt idx="9">
                  <c:v>125.375</c:v>
                </c:pt>
                <c:pt idx="10">
                  <c:v>175.53333333333333</c:v>
                </c:pt>
                <c:pt idx="11">
                  <c:v>60.5625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CB4-40E0-BA70-13DF0D9DE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4773720"/>
        <c:axId val="1570813560"/>
      </c:barChart>
      <c:catAx>
        <c:axId val="1864773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70813560"/>
        <c:crosses val="autoZero"/>
        <c:auto val="1"/>
        <c:lblAlgn val="ctr"/>
        <c:lblOffset val="100"/>
        <c:noMultiLvlLbl val="1"/>
      </c:catAx>
      <c:valAx>
        <c:axId val="1570813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647737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Média da Dificuldade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estatisticas!$D$6</c:f>
              <c:strCache>
                <c:ptCount val="1"/>
              </c:strCache>
            </c:strRef>
          </c:tx>
          <c:spPr>
            <a:solidFill>
              <a:srgbClr val="00FFFF"/>
            </a:solidFill>
            <a:ln cmpd="sng">
              <a:noFill/>
            </a:ln>
          </c:spPr>
          <c:invertIfNegative val="1"/>
          <c:cat>
            <c:strRef>
              <c:f>estatisticas!$A$7:$A$18</c:f>
              <c:strCache>
                <c:ptCount val="12"/>
                <c:pt idx="0">
                  <c:v>tarefas</c:v>
                </c:pt>
                <c:pt idx="1">
                  <c:v>1C</c:v>
                </c:pt>
                <c:pt idx="2">
                  <c:v>1S</c:v>
                </c:pt>
                <c:pt idx="3">
                  <c:v>2C</c:v>
                </c:pt>
                <c:pt idx="4">
                  <c:v>2S</c:v>
                </c:pt>
                <c:pt idx="5">
                  <c:v>3C</c:v>
                </c:pt>
                <c:pt idx="6">
                  <c:v>3S</c:v>
                </c:pt>
                <c:pt idx="7">
                  <c:v>4C</c:v>
                </c:pt>
                <c:pt idx="8">
                  <c:v>4S</c:v>
                </c:pt>
                <c:pt idx="9">
                  <c:v>5C</c:v>
                </c:pt>
                <c:pt idx="10">
                  <c:v>5S</c:v>
                </c:pt>
                <c:pt idx="11">
                  <c:v>6C</c:v>
                </c:pt>
              </c:strCache>
            </c:strRef>
          </c:cat>
          <c:val>
            <c:numRef>
              <c:f>estatisticas!$D$7:$D$18</c:f>
              <c:numCache>
                <c:formatCode>General</c:formatCode>
                <c:ptCount val="12"/>
                <c:pt idx="0">
                  <c:v>0</c:v>
                </c:pt>
                <c:pt idx="1">
                  <c:v>1.6</c:v>
                </c:pt>
                <c:pt idx="2">
                  <c:v>2.625</c:v>
                </c:pt>
                <c:pt idx="3">
                  <c:v>2.1333333333333333</c:v>
                </c:pt>
                <c:pt idx="4">
                  <c:v>1.875</c:v>
                </c:pt>
                <c:pt idx="5">
                  <c:v>1.9333333333333333</c:v>
                </c:pt>
                <c:pt idx="6">
                  <c:v>1.3125</c:v>
                </c:pt>
                <c:pt idx="7">
                  <c:v>1.5</c:v>
                </c:pt>
                <c:pt idx="8">
                  <c:v>1.7333333333333334</c:v>
                </c:pt>
                <c:pt idx="9">
                  <c:v>3.125</c:v>
                </c:pt>
                <c:pt idx="10">
                  <c:v>3.1333333333333333</c:v>
                </c:pt>
                <c:pt idx="11">
                  <c:v>2.5625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AF8-4961-947B-6C627362D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9516928"/>
        <c:axId val="1825545788"/>
      </c:barChart>
      <c:catAx>
        <c:axId val="659516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25545788"/>
        <c:crosses val="autoZero"/>
        <c:auto val="1"/>
        <c:lblAlgn val="ctr"/>
        <c:lblOffset val="100"/>
        <c:noMultiLvlLbl val="1"/>
      </c:catAx>
      <c:valAx>
        <c:axId val="182554578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595169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MAX de tempo 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estatisticas!$C$70</c:f>
              <c:strCache>
                <c:ptCount val="1"/>
                <c:pt idx="0">
                  <c:v>MAX de tempo</c:v>
                </c:pt>
              </c:strCache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1"/>
          <c:cat>
            <c:strRef>
              <c:f>estatisticas!$A$71:$A$83</c:f>
              <c:strCache>
                <c:ptCount val="13"/>
                <c:pt idx="0">
                  <c:v>1C</c:v>
                </c:pt>
                <c:pt idx="1">
                  <c:v>1S</c:v>
                </c:pt>
                <c:pt idx="2">
                  <c:v>2C</c:v>
                </c:pt>
                <c:pt idx="3">
                  <c:v>2S</c:v>
                </c:pt>
                <c:pt idx="4">
                  <c:v>3C</c:v>
                </c:pt>
                <c:pt idx="5">
                  <c:v>3S</c:v>
                </c:pt>
                <c:pt idx="6">
                  <c:v>4C</c:v>
                </c:pt>
                <c:pt idx="7">
                  <c:v>4S</c:v>
                </c:pt>
                <c:pt idx="8">
                  <c:v>5C</c:v>
                </c:pt>
                <c:pt idx="9">
                  <c:v>5S</c:v>
                </c:pt>
                <c:pt idx="10">
                  <c:v>6C</c:v>
                </c:pt>
                <c:pt idx="11">
                  <c:v>6S</c:v>
                </c:pt>
                <c:pt idx="12">
                  <c:v>Total geral</c:v>
                </c:pt>
              </c:strCache>
            </c:strRef>
          </c:cat>
          <c:val>
            <c:numRef>
              <c:f>estatisticas!$C$71:$C$83</c:f>
              <c:numCache>
                <c:formatCode>General</c:formatCode>
                <c:ptCount val="13"/>
                <c:pt idx="0">
                  <c:v>169</c:v>
                </c:pt>
                <c:pt idx="1">
                  <c:v>313</c:v>
                </c:pt>
                <c:pt idx="2">
                  <c:v>248</c:v>
                </c:pt>
                <c:pt idx="3">
                  <c:v>180</c:v>
                </c:pt>
                <c:pt idx="4">
                  <c:v>184</c:v>
                </c:pt>
                <c:pt idx="5">
                  <c:v>88</c:v>
                </c:pt>
                <c:pt idx="6">
                  <c:v>170</c:v>
                </c:pt>
                <c:pt idx="7">
                  <c:v>103</c:v>
                </c:pt>
                <c:pt idx="8">
                  <c:v>258</c:v>
                </c:pt>
                <c:pt idx="9">
                  <c:v>348</c:v>
                </c:pt>
                <c:pt idx="10">
                  <c:v>186</c:v>
                </c:pt>
                <c:pt idx="11">
                  <c:v>216</c:v>
                </c:pt>
                <c:pt idx="12">
                  <c:v>348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CFB-4D64-845C-B25A4AAC5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896130"/>
        <c:axId val="1341273023"/>
      </c:barChart>
      <c:catAx>
        <c:axId val="167896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tarefas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41273023"/>
        <c:crosses val="autoZero"/>
        <c:auto val="1"/>
        <c:lblAlgn val="ctr"/>
        <c:lblOffset val="100"/>
        <c:noMultiLvlLbl val="1"/>
      </c:catAx>
      <c:valAx>
        <c:axId val="1341273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78961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MIN de tempo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estatisticas!$B$70</c:f>
              <c:strCache>
                <c:ptCount val="1"/>
                <c:pt idx="0">
                  <c:v>MIN de tempo</c:v>
                </c:pt>
              </c:strCache>
            </c:strRef>
          </c:tx>
          <c:spPr>
            <a:solidFill>
              <a:srgbClr val="00FF00"/>
            </a:solidFill>
            <a:ln cmpd="sng">
              <a:noFill/>
            </a:ln>
          </c:spPr>
          <c:invertIfNegative val="1"/>
          <c:cat>
            <c:strRef>
              <c:f>estatisticas!$A$71:$A$83</c:f>
              <c:strCache>
                <c:ptCount val="13"/>
                <c:pt idx="0">
                  <c:v>1C</c:v>
                </c:pt>
                <c:pt idx="1">
                  <c:v>1S</c:v>
                </c:pt>
                <c:pt idx="2">
                  <c:v>2C</c:v>
                </c:pt>
                <c:pt idx="3">
                  <c:v>2S</c:v>
                </c:pt>
                <c:pt idx="4">
                  <c:v>3C</c:v>
                </c:pt>
                <c:pt idx="5">
                  <c:v>3S</c:v>
                </c:pt>
                <c:pt idx="6">
                  <c:v>4C</c:v>
                </c:pt>
                <c:pt idx="7">
                  <c:v>4S</c:v>
                </c:pt>
                <c:pt idx="8">
                  <c:v>5C</c:v>
                </c:pt>
                <c:pt idx="9">
                  <c:v>5S</c:v>
                </c:pt>
                <c:pt idx="10">
                  <c:v>6C</c:v>
                </c:pt>
                <c:pt idx="11">
                  <c:v>6S</c:v>
                </c:pt>
                <c:pt idx="12">
                  <c:v>Total geral</c:v>
                </c:pt>
              </c:strCache>
            </c:strRef>
          </c:cat>
          <c:val>
            <c:numRef>
              <c:f>estatisticas!$B$71:$B$83</c:f>
              <c:numCache>
                <c:formatCode>General</c:formatCode>
                <c:ptCount val="13"/>
                <c:pt idx="0">
                  <c:v>39</c:v>
                </c:pt>
                <c:pt idx="1">
                  <c:v>44</c:v>
                </c:pt>
                <c:pt idx="2">
                  <c:v>22</c:v>
                </c:pt>
                <c:pt idx="3">
                  <c:v>19</c:v>
                </c:pt>
                <c:pt idx="4">
                  <c:v>12</c:v>
                </c:pt>
                <c:pt idx="5">
                  <c:v>16</c:v>
                </c:pt>
                <c:pt idx="6">
                  <c:v>10</c:v>
                </c:pt>
                <c:pt idx="7">
                  <c:v>12</c:v>
                </c:pt>
                <c:pt idx="8">
                  <c:v>50</c:v>
                </c:pt>
                <c:pt idx="9">
                  <c:v>41</c:v>
                </c:pt>
                <c:pt idx="10">
                  <c:v>13</c:v>
                </c:pt>
                <c:pt idx="11">
                  <c:v>9</c:v>
                </c:pt>
                <c:pt idx="12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2A-471E-8804-4068E5C64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2918630"/>
        <c:axId val="1221418508"/>
      </c:barChart>
      <c:catAx>
        <c:axId val="11929186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tarefas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21418508"/>
        <c:crosses val="autoZero"/>
        <c:auto val="1"/>
        <c:lblAlgn val="ctr"/>
        <c:lblOffset val="100"/>
        <c:noMultiLvlLbl val="1"/>
      </c:catAx>
      <c:valAx>
        <c:axId val="12214185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929186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VOTOS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estatisticas!$B$90:$B$91</c:f>
              <c:strCache>
                <c:ptCount val="2"/>
                <c:pt idx="0">
                  <c:v>COMPARACAO</c:v>
                </c:pt>
                <c:pt idx="1">
                  <c:v>VOTOS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FAC8-4233-87F4-D9D9C8D90FDD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FAC8-4233-87F4-D9D9C8D90FDD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FAC8-4233-87F4-D9D9C8D90FDD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FAC8-4233-87F4-D9D9C8D90FDD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FAC8-4233-87F4-D9D9C8D90FDD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FAC8-4233-87F4-D9D9C8D90FDD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FAC8-4233-87F4-D9D9C8D90FDD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FAC8-4233-87F4-D9D9C8D90FDD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FAC8-4233-87F4-D9D9C8D90FDD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FAC8-4233-87F4-D9D9C8D90FDD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FAC8-4233-87F4-D9D9C8D90FDD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FAC8-4233-87F4-D9D9C8D90FDD}"/>
              </c:ext>
            </c:extLst>
          </c:dPt>
          <c:cat>
            <c:strRef>
              <c:f>estatisticas!$A$92:$A$103</c:f>
              <c:strCache>
                <c:ptCount val="12"/>
                <c:pt idx="0">
                  <c:v>1C</c:v>
                </c:pt>
                <c:pt idx="1">
                  <c:v>1S</c:v>
                </c:pt>
                <c:pt idx="2">
                  <c:v>2C</c:v>
                </c:pt>
                <c:pt idx="3">
                  <c:v>2S</c:v>
                </c:pt>
                <c:pt idx="4">
                  <c:v>3C</c:v>
                </c:pt>
                <c:pt idx="5">
                  <c:v>3S</c:v>
                </c:pt>
                <c:pt idx="6">
                  <c:v>4C</c:v>
                </c:pt>
                <c:pt idx="7">
                  <c:v>4S</c:v>
                </c:pt>
                <c:pt idx="8">
                  <c:v>5C</c:v>
                </c:pt>
                <c:pt idx="9">
                  <c:v>5S</c:v>
                </c:pt>
                <c:pt idx="10">
                  <c:v>6C</c:v>
                </c:pt>
                <c:pt idx="11">
                  <c:v>6S</c:v>
                </c:pt>
              </c:strCache>
            </c:strRef>
          </c:cat>
          <c:val>
            <c:numRef>
              <c:f>estatisticas!$B$92:$B$103</c:f>
              <c:numCache>
                <c:formatCode>General</c:formatCode>
                <c:ptCount val="12"/>
                <c:pt idx="0">
                  <c:v>10</c:v>
                </c:pt>
                <c:pt idx="1">
                  <c:v>6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  <c:pt idx="5">
                  <c:v>10</c:v>
                </c:pt>
                <c:pt idx="6">
                  <c:v>14</c:v>
                </c:pt>
                <c:pt idx="7">
                  <c:v>2</c:v>
                </c:pt>
                <c:pt idx="8">
                  <c:v>10</c:v>
                </c:pt>
                <c:pt idx="9">
                  <c:v>6</c:v>
                </c:pt>
                <c:pt idx="10">
                  <c:v>12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AC8-4233-87F4-D9D9C8D90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4A86E8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VOTOS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estatisticas!$B$90:$B$91</c:f>
              <c:strCache>
                <c:ptCount val="2"/>
                <c:pt idx="0">
                  <c:v>COMPARACAO</c:v>
                </c:pt>
                <c:pt idx="1">
                  <c:v>VOTOS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36D3-495D-808E-5069B6877452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36D3-495D-808E-5069B6877452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36D3-495D-808E-5069B6877452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36D3-495D-808E-5069B6877452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36D3-495D-808E-5069B6877452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36D3-495D-808E-5069B6877452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36D3-495D-808E-5069B6877452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36D3-495D-808E-5069B6877452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36D3-495D-808E-5069B6877452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36D3-495D-808E-5069B6877452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36D3-495D-808E-5069B6877452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36D3-495D-808E-5069B6877452}"/>
              </c:ext>
            </c:extLst>
          </c:dPt>
          <c:cat>
            <c:strRef>
              <c:f>estatisticas!$A$92:$A$103</c:f>
              <c:strCache>
                <c:ptCount val="12"/>
                <c:pt idx="0">
                  <c:v>1C</c:v>
                </c:pt>
                <c:pt idx="1">
                  <c:v>1S</c:v>
                </c:pt>
                <c:pt idx="2">
                  <c:v>2C</c:v>
                </c:pt>
                <c:pt idx="3">
                  <c:v>2S</c:v>
                </c:pt>
                <c:pt idx="4">
                  <c:v>3C</c:v>
                </c:pt>
                <c:pt idx="5">
                  <c:v>3S</c:v>
                </c:pt>
                <c:pt idx="6">
                  <c:v>4C</c:v>
                </c:pt>
                <c:pt idx="7">
                  <c:v>4S</c:v>
                </c:pt>
                <c:pt idx="8">
                  <c:v>5C</c:v>
                </c:pt>
                <c:pt idx="9">
                  <c:v>5S</c:v>
                </c:pt>
                <c:pt idx="10">
                  <c:v>6C</c:v>
                </c:pt>
                <c:pt idx="11">
                  <c:v>6S</c:v>
                </c:pt>
              </c:strCache>
            </c:strRef>
          </c:cat>
          <c:val>
            <c:numRef>
              <c:f>estatisticas!$B$92:$B$103</c:f>
              <c:numCache>
                <c:formatCode>General</c:formatCode>
                <c:ptCount val="12"/>
                <c:pt idx="0">
                  <c:v>10</c:v>
                </c:pt>
                <c:pt idx="1">
                  <c:v>6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  <c:pt idx="5">
                  <c:v>10</c:v>
                </c:pt>
                <c:pt idx="6">
                  <c:v>14</c:v>
                </c:pt>
                <c:pt idx="7">
                  <c:v>2</c:v>
                </c:pt>
                <c:pt idx="8">
                  <c:v>10</c:v>
                </c:pt>
                <c:pt idx="9">
                  <c:v>6</c:v>
                </c:pt>
                <c:pt idx="10">
                  <c:v>12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6D3-495D-808E-5069B6877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4A86E8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estatisticas!$L$5</c:f>
              <c:strCache>
                <c:ptCount val="1"/>
                <c:pt idx="0">
                  <c:v>Tempo médio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estatisticas!$K$6:$K$7</c:f>
              <c:strCache>
                <c:ptCount val="2"/>
                <c:pt idx="0">
                  <c:v>Com Clean Code</c:v>
                </c:pt>
                <c:pt idx="1">
                  <c:v>Sem Clean Code</c:v>
                </c:pt>
              </c:strCache>
            </c:strRef>
          </c:cat>
          <c:val>
            <c:numRef>
              <c:f>estatisticas!$L$6:$L$7</c:f>
              <c:numCache>
                <c:formatCode>0.00</c:formatCode>
                <c:ptCount val="2"/>
                <c:pt idx="0">
                  <c:v>74.633333333333326</c:v>
                </c:pt>
                <c:pt idx="1">
                  <c:v>94.125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C1-4DCB-AF30-BAB9C6B434EE}"/>
            </c:ext>
          </c:extLst>
        </c:ser>
        <c:ser>
          <c:idx val="1"/>
          <c:order val="1"/>
          <c:tx>
            <c:strRef>
              <c:f>estatisticas!$L$5</c:f>
              <c:strCache>
                <c:ptCount val="1"/>
                <c:pt idx="0">
                  <c:v>Tempo médio</c:v>
                </c:pt>
              </c:strCache>
            </c:strRef>
          </c:tx>
          <c:invertIfNegative val="1"/>
          <c:cat>
            <c:strRef>
              <c:f>estatisticas!$K$6:$K$7</c:f>
              <c:strCache>
                <c:ptCount val="2"/>
                <c:pt idx="0">
                  <c:v>Com Clean Code</c:v>
                </c:pt>
                <c:pt idx="1">
                  <c:v>Sem Clean Code</c:v>
                </c:pt>
              </c:strCache>
            </c:strRef>
          </c:cat>
          <c:val>
            <c:numRef>
              <c:f>estatisticas!$L$6:$L$7</c:f>
              <c:numCache>
                <c:formatCode>0.00</c:formatCode>
                <c:ptCount val="2"/>
                <c:pt idx="0">
                  <c:v>74.633333333333326</c:v>
                </c:pt>
                <c:pt idx="1">
                  <c:v>94.125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C1-4DCB-AF30-BAB9C6B43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1364432"/>
        <c:axId val="1266496030"/>
      </c:barChart>
      <c:catAx>
        <c:axId val="1461364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66496030"/>
        <c:crosses val="autoZero"/>
        <c:auto val="1"/>
        <c:lblAlgn val="ctr"/>
        <c:lblOffset val="100"/>
        <c:noMultiLvlLbl val="1"/>
      </c:catAx>
      <c:valAx>
        <c:axId val="126649603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tempo em segundos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6136443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estatisticas!$L$23</c:f>
              <c:strCache>
                <c:ptCount val="1"/>
                <c:pt idx="0">
                  <c:v>Tempo médio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estatisticas!$K$24:$K$25</c:f>
              <c:strCache>
                <c:ptCount val="2"/>
                <c:pt idx="0">
                  <c:v>Com Clean Code</c:v>
                </c:pt>
                <c:pt idx="1">
                  <c:v>Sem Clean Code</c:v>
                </c:pt>
              </c:strCache>
            </c:strRef>
          </c:cat>
          <c:val>
            <c:numRef>
              <c:f>estatisticas!$L$24:$L$25</c:f>
              <c:numCache>
                <c:formatCode>0.00</c:formatCode>
                <c:ptCount val="2"/>
                <c:pt idx="0">
                  <c:v>106.28749999999999</c:v>
                </c:pt>
                <c:pt idx="1">
                  <c:v>132.04791666666665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DEA-4A61-9BF7-285C4244CEFC}"/>
            </c:ext>
          </c:extLst>
        </c:ser>
        <c:ser>
          <c:idx val="1"/>
          <c:order val="1"/>
          <c:tx>
            <c:strRef>
              <c:f>estatisticas!$L$23</c:f>
              <c:strCache>
                <c:ptCount val="1"/>
                <c:pt idx="0">
                  <c:v>Tempo médio</c:v>
                </c:pt>
              </c:strCache>
            </c:strRef>
          </c:tx>
          <c:invertIfNegative val="1"/>
          <c:cat>
            <c:strRef>
              <c:f>estatisticas!$K$24:$K$25</c:f>
              <c:strCache>
                <c:ptCount val="2"/>
                <c:pt idx="0">
                  <c:v>Com Clean Code</c:v>
                </c:pt>
                <c:pt idx="1">
                  <c:v>Sem Clean Code</c:v>
                </c:pt>
              </c:strCache>
            </c:strRef>
          </c:cat>
          <c:val>
            <c:numRef>
              <c:f>estatisticas!$L$24:$L$25</c:f>
              <c:numCache>
                <c:formatCode>0.00</c:formatCode>
                <c:ptCount val="2"/>
                <c:pt idx="0">
                  <c:v>106.28749999999999</c:v>
                </c:pt>
                <c:pt idx="1">
                  <c:v>132.04791666666665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EA-4A61-9BF7-285C4244C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5065015"/>
        <c:axId val="2041990754"/>
      </c:barChart>
      <c:catAx>
        <c:axId val="725065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41990754"/>
        <c:crosses val="autoZero"/>
        <c:auto val="1"/>
        <c:lblAlgn val="ctr"/>
        <c:lblOffset val="100"/>
        <c:noMultiLvlLbl val="1"/>
      </c:catAx>
      <c:valAx>
        <c:axId val="204199075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tempo em segundos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7250650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estatisticas!$L$41</c:f>
              <c:strCache>
                <c:ptCount val="1"/>
                <c:pt idx="0">
                  <c:v>Tempo médio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estatisticas!$K$42:$K$43</c:f>
              <c:strCache>
                <c:ptCount val="2"/>
                <c:pt idx="0">
                  <c:v>Com Clean Code</c:v>
                </c:pt>
                <c:pt idx="1">
                  <c:v>Sem Clean Code</c:v>
                </c:pt>
              </c:strCache>
            </c:strRef>
          </c:cat>
          <c:val>
            <c:numRef>
              <c:f>estatisticas!$L$42:$L$43</c:f>
              <c:numCache>
                <c:formatCode>0.00</c:formatCode>
                <c:ptCount val="2"/>
                <c:pt idx="0">
                  <c:v>54.5</c:v>
                </c:pt>
                <c:pt idx="1">
                  <c:v>64.066666666666663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24F-489B-82B5-00656A348068}"/>
            </c:ext>
          </c:extLst>
        </c:ser>
        <c:ser>
          <c:idx val="1"/>
          <c:order val="1"/>
          <c:tx>
            <c:strRef>
              <c:f>estatisticas!$L$41</c:f>
              <c:strCache>
                <c:ptCount val="1"/>
                <c:pt idx="0">
                  <c:v>Tempo médio</c:v>
                </c:pt>
              </c:strCache>
            </c:strRef>
          </c:tx>
          <c:invertIfNegative val="1"/>
          <c:cat>
            <c:strRef>
              <c:f>estatisticas!$K$42:$K$43</c:f>
              <c:strCache>
                <c:ptCount val="2"/>
                <c:pt idx="0">
                  <c:v>Com Clean Code</c:v>
                </c:pt>
                <c:pt idx="1">
                  <c:v>Sem Clean Code</c:v>
                </c:pt>
              </c:strCache>
            </c:strRef>
          </c:cat>
          <c:val>
            <c:numRef>
              <c:f>estatisticas!$L$42:$L$43</c:f>
              <c:numCache>
                <c:formatCode>0.00</c:formatCode>
                <c:ptCount val="2"/>
                <c:pt idx="0">
                  <c:v>54.5</c:v>
                </c:pt>
                <c:pt idx="1">
                  <c:v>64.066666666666663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4F-489B-82B5-00656A348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6564251"/>
        <c:axId val="1477954928"/>
      </c:barChart>
      <c:catAx>
        <c:axId val="316564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77954928"/>
        <c:crosses val="autoZero"/>
        <c:auto val="1"/>
        <c:lblAlgn val="ctr"/>
        <c:lblOffset val="100"/>
        <c:noMultiLvlLbl val="1"/>
      </c:catAx>
      <c:valAx>
        <c:axId val="147795492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tempo de segundos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1656425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nomes Claros</c:v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307-4CCA-949E-5A430F29FC7A}"/>
              </c:ext>
            </c:extLst>
          </c:dPt>
          <c:cat>
            <c:strRef>
              <c:f>estatisticas!$K$6:$K$7</c:f>
              <c:strCache>
                <c:ptCount val="2"/>
                <c:pt idx="0">
                  <c:v>Com Clean Code</c:v>
                </c:pt>
                <c:pt idx="1">
                  <c:v>Sem Clean Code</c:v>
                </c:pt>
              </c:strCache>
            </c:strRef>
          </c:cat>
          <c:val>
            <c:numRef>
              <c:f>estatisticas!$N$6:$N$7</c:f>
              <c:numCache>
                <c:formatCode>0.00</c:formatCode>
                <c:ptCount val="2"/>
                <c:pt idx="0">
                  <c:v>1.7666666666666666</c:v>
                </c:pt>
                <c:pt idx="1">
                  <c:v>1.96875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307-4CCA-949E-5A430F29FC7A}"/>
            </c:ext>
          </c:extLst>
        </c:ser>
        <c:ser>
          <c:idx val="1"/>
          <c:order val="1"/>
          <c:tx>
            <c:v>múltiplos parâmetros</c:v>
          </c:tx>
          <c:spPr>
            <a:solidFill>
              <a:schemeClr val="accent2"/>
            </a:solidFill>
            <a:ln cmpd="sng">
              <a:noFill/>
            </a:ln>
          </c:spPr>
          <c:invertIfNegative val="1"/>
          <c:cat>
            <c:strRef>
              <c:f>estatisticas!$K$6:$K$7</c:f>
              <c:strCache>
                <c:ptCount val="2"/>
                <c:pt idx="0">
                  <c:v>Com Clean Code</c:v>
                </c:pt>
                <c:pt idx="1">
                  <c:v>Sem Clean Code</c:v>
                </c:pt>
              </c:strCache>
            </c:strRef>
          </c:cat>
          <c:val>
            <c:numRef>
              <c:f>estatisticas!$N$6:$N$7</c:f>
              <c:numCache>
                <c:formatCode>0.00</c:formatCode>
                <c:ptCount val="2"/>
                <c:pt idx="0">
                  <c:v>1.7666666666666666</c:v>
                </c:pt>
                <c:pt idx="1">
                  <c:v>1.96875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307-4CCA-949E-5A430F29FC7A}"/>
            </c:ext>
          </c:extLst>
        </c:ser>
        <c:ser>
          <c:idx val="2"/>
          <c:order val="2"/>
          <c:tx>
            <c:v>funções curtas</c:v>
          </c:tx>
          <c:spPr>
            <a:solidFill>
              <a:schemeClr val="accent3"/>
            </a:solidFill>
            <a:ln cmpd="sng">
              <a:noFill/>
            </a:ln>
          </c:spPr>
          <c:invertIfNegative val="1"/>
          <c:cat>
            <c:strRef>
              <c:f>estatisticas!$K$6:$K$7</c:f>
              <c:strCache>
                <c:ptCount val="2"/>
                <c:pt idx="0">
                  <c:v>Com Clean Code</c:v>
                </c:pt>
                <c:pt idx="1">
                  <c:v>Sem Clean Code</c:v>
                </c:pt>
              </c:strCache>
            </c:strRef>
          </c:cat>
          <c:val>
            <c:numRef>
              <c:f>estatisticas!$N$24:$N$25</c:f>
              <c:numCache>
                <c:formatCode>0.00</c:formatCode>
                <c:ptCount val="2"/>
                <c:pt idx="0">
                  <c:v>2.6291666666666664</c:v>
                </c:pt>
                <c:pt idx="1">
                  <c:v>2.5041666666666664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307-4CCA-949E-5A430F29FC7A}"/>
            </c:ext>
          </c:extLst>
        </c:ser>
        <c:ser>
          <c:idx val="3"/>
          <c:order val="3"/>
          <c:tx>
            <c:strRef>
              <c:f>estatisticas!$N$23</c:f>
              <c:strCache>
                <c:ptCount val="1"/>
                <c:pt idx="0">
                  <c:v>Dificuldade média</c:v>
                </c:pt>
              </c:strCache>
            </c:strRef>
          </c:tx>
          <c:invertIfNegative val="1"/>
          <c:cat>
            <c:strRef>
              <c:f>estatisticas!$K$6:$K$7</c:f>
              <c:strCache>
                <c:ptCount val="2"/>
                <c:pt idx="0">
                  <c:v>Com Clean Code</c:v>
                </c:pt>
                <c:pt idx="1">
                  <c:v>Sem Clean Code</c:v>
                </c:pt>
              </c:strCache>
            </c:strRef>
          </c:cat>
          <c:val>
            <c:numRef>
              <c:f>estatisticas!$N$24:$N$25</c:f>
              <c:numCache>
                <c:formatCode>0.00</c:formatCode>
                <c:ptCount val="2"/>
                <c:pt idx="0">
                  <c:v>2.6291666666666664</c:v>
                </c:pt>
                <c:pt idx="1">
                  <c:v>2.5041666666666664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07-4CCA-949E-5A430F29FC7A}"/>
            </c:ext>
          </c:extLst>
        </c:ser>
        <c:ser>
          <c:idx val="4"/>
          <c:order val="4"/>
          <c:tx>
            <c:strRef>
              <c:f>estatisticas!$N$23</c:f>
              <c:strCache>
                <c:ptCount val="1"/>
                <c:pt idx="0">
                  <c:v>Dificuldade média</c:v>
                </c:pt>
              </c:strCache>
            </c:strRef>
          </c:tx>
          <c:invertIfNegative val="1"/>
          <c:cat>
            <c:strRef>
              <c:f>estatisticas!$K$6:$K$7</c:f>
              <c:strCache>
                <c:ptCount val="2"/>
                <c:pt idx="0">
                  <c:v>Com Clean Code</c:v>
                </c:pt>
                <c:pt idx="1">
                  <c:v>Sem Clean Code</c:v>
                </c:pt>
              </c:strCache>
            </c:strRef>
          </c:cat>
          <c:val>
            <c:numRef>
              <c:f>estatisticas!$N$24:$N$25</c:f>
              <c:numCache>
                <c:formatCode>0.00</c:formatCode>
                <c:ptCount val="2"/>
                <c:pt idx="0">
                  <c:v>2.6291666666666664</c:v>
                </c:pt>
                <c:pt idx="1">
                  <c:v>2.5041666666666664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07-4CCA-949E-5A430F29FC7A}"/>
            </c:ext>
          </c:extLst>
        </c:ser>
        <c:ser>
          <c:idx val="5"/>
          <c:order val="5"/>
          <c:tx>
            <c:strRef>
              <c:f>estatisticas!$N$41</c:f>
              <c:strCache>
                <c:ptCount val="1"/>
                <c:pt idx="0">
                  <c:v>Dificuldade média</c:v>
                </c:pt>
              </c:strCache>
            </c:strRef>
          </c:tx>
          <c:invertIfNegative val="1"/>
          <c:cat>
            <c:strRef>
              <c:f>estatisticas!$K$6:$K$7</c:f>
              <c:strCache>
                <c:ptCount val="2"/>
                <c:pt idx="0">
                  <c:v>Com Clean Code</c:v>
                </c:pt>
                <c:pt idx="1">
                  <c:v>Sem Clean Code</c:v>
                </c:pt>
              </c:strCache>
            </c:strRef>
          </c:cat>
          <c:val>
            <c:numRef>
              <c:f>estatisticas!$N$42:$N$43</c:f>
              <c:numCache>
                <c:formatCode>0.00</c:formatCode>
                <c:ptCount val="2"/>
                <c:pt idx="0">
                  <c:v>2.03125</c:v>
                </c:pt>
                <c:pt idx="1">
                  <c:v>2.0333333333333332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07-4CCA-949E-5A430F29F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6472008"/>
        <c:axId val="2007802398"/>
      </c:barChart>
      <c:catAx>
        <c:axId val="316472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07802398"/>
        <c:crosses val="autoZero"/>
        <c:auto val="1"/>
        <c:lblAlgn val="ctr"/>
        <c:lblOffset val="100"/>
        <c:noMultiLvlLbl val="1"/>
      </c:catAx>
      <c:valAx>
        <c:axId val="200780239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1647200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nomes Claros</c:v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estatisticas!$K$6:$K$7</c:f>
              <c:strCache>
                <c:ptCount val="2"/>
                <c:pt idx="0">
                  <c:v>Com Clean Code</c:v>
                </c:pt>
                <c:pt idx="1">
                  <c:v>Sem Clean Code</c:v>
                </c:pt>
              </c:strCache>
            </c:strRef>
          </c:cat>
          <c:val>
            <c:numRef>
              <c:f>estatisticas!$M$6:$M$7</c:f>
              <c:numCache>
                <c:formatCode>0.00</c:formatCode>
                <c:ptCount val="2"/>
                <c:pt idx="0">
                  <c:v>1.1000000000000001</c:v>
                </c:pt>
                <c:pt idx="1">
                  <c:v>1.375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0A8-455D-8C90-00666B66AB2A}"/>
            </c:ext>
          </c:extLst>
        </c:ser>
        <c:ser>
          <c:idx val="1"/>
          <c:order val="1"/>
          <c:tx>
            <c:v>múltiplos parâmetros</c:v>
          </c:tx>
          <c:spPr>
            <a:solidFill>
              <a:schemeClr val="accent2"/>
            </a:solidFill>
            <a:ln cmpd="sng">
              <a:noFill/>
            </a:ln>
          </c:spPr>
          <c:invertIfNegative val="1"/>
          <c:cat>
            <c:strRef>
              <c:f>estatisticas!$K$6:$K$7</c:f>
              <c:strCache>
                <c:ptCount val="2"/>
                <c:pt idx="0">
                  <c:v>Com Clean Code</c:v>
                </c:pt>
                <c:pt idx="1">
                  <c:v>Sem Clean Code</c:v>
                </c:pt>
              </c:strCache>
            </c:strRef>
          </c:cat>
          <c:val>
            <c:numRef>
              <c:f>estatisticas!$M$6:$M$7</c:f>
              <c:numCache>
                <c:formatCode>0.00</c:formatCode>
                <c:ptCount val="2"/>
                <c:pt idx="0">
                  <c:v>1.1000000000000001</c:v>
                </c:pt>
                <c:pt idx="1">
                  <c:v>1.375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0A8-455D-8C90-00666B66AB2A}"/>
            </c:ext>
          </c:extLst>
        </c:ser>
        <c:ser>
          <c:idx val="2"/>
          <c:order val="2"/>
          <c:tx>
            <c:v>funções curtas</c:v>
          </c:tx>
          <c:spPr>
            <a:solidFill>
              <a:schemeClr val="accent3"/>
            </a:solidFill>
            <a:ln cmpd="sng">
              <a:noFill/>
            </a:ln>
          </c:spPr>
          <c:invertIfNegative val="1"/>
          <c:cat>
            <c:strRef>
              <c:f>estatisticas!$K$6:$K$7</c:f>
              <c:strCache>
                <c:ptCount val="2"/>
                <c:pt idx="0">
                  <c:v>Com Clean Code</c:v>
                </c:pt>
                <c:pt idx="1">
                  <c:v>Sem Clean Code</c:v>
                </c:pt>
              </c:strCache>
            </c:strRef>
          </c:cat>
          <c:val>
            <c:numRef>
              <c:f>estatisticas!$M$24:$M$25</c:f>
              <c:numCache>
                <c:formatCode>0.00</c:formatCode>
                <c:ptCount val="2"/>
                <c:pt idx="0">
                  <c:v>1.4166666666666665</c:v>
                </c:pt>
                <c:pt idx="1">
                  <c:v>1.8187500000000001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0A8-455D-8C90-00666B66AB2A}"/>
            </c:ext>
          </c:extLst>
        </c:ser>
        <c:ser>
          <c:idx val="3"/>
          <c:order val="3"/>
          <c:tx>
            <c:strRef>
              <c:f>estatisticas!$M$23</c:f>
              <c:strCache>
                <c:ptCount val="1"/>
                <c:pt idx="0">
                  <c:v>Tentivas médias</c:v>
                </c:pt>
              </c:strCache>
            </c:strRef>
          </c:tx>
          <c:invertIfNegative val="1"/>
          <c:cat>
            <c:strRef>
              <c:f>estatisticas!$K$6:$K$7</c:f>
              <c:strCache>
                <c:ptCount val="2"/>
                <c:pt idx="0">
                  <c:v>Com Clean Code</c:v>
                </c:pt>
                <c:pt idx="1">
                  <c:v>Sem Clean Code</c:v>
                </c:pt>
              </c:strCache>
            </c:strRef>
          </c:cat>
          <c:val>
            <c:numRef>
              <c:f>estatisticas!$M$24:$M$25</c:f>
              <c:numCache>
                <c:formatCode>0.00</c:formatCode>
                <c:ptCount val="2"/>
                <c:pt idx="0">
                  <c:v>1.4166666666666665</c:v>
                </c:pt>
                <c:pt idx="1">
                  <c:v>1.8187500000000001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A8-455D-8C90-00666B66AB2A}"/>
            </c:ext>
          </c:extLst>
        </c:ser>
        <c:ser>
          <c:idx val="4"/>
          <c:order val="4"/>
          <c:tx>
            <c:strRef>
              <c:f>estatisticas!$M$41</c:f>
              <c:strCache>
                <c:ptCount val="1"/>
                <c:pt idx="0">
                  <c:v>Tentivas médias</c:v>
                </c:pt>
              </c:strCache>
            </c:strRef>
          </c:tx>
          <c:invertIfNegative val="1"/>
          <c:cat>
            <c:strRef>
              <c:f>estatisticas!$K$6:$K$7</c:f>
              <c:strCache>
                <c:ptCount val="2"/>
                <c:pt idx="0">
                  <c:v>Com Clean Code</c:v>
                </c:pt>
                <c:pt idx="1">
                  <c:v>Sem Clean Code</c:v>
                </c:pt>
              </c:strCache>
            </c:strRef>
          </c:cat>
          <c:val>
            <c:numRef>
              <c:f>estatisticas!$M$42:$M$43</c:f>
              <c:numCache>
                <c:formatCode>0.00</c:formatCode>
                <c:ptCount val="2"/>
                <c:pt idx="0">
                  <c:v>1.0625</c:v>
                </c:pt>
                <c:pt idx="1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A8-455D-8C90-00666B66AB2A}"/>
            </c:ext>
          </c:extLst>
        </c:ser>
        <c:ser>
          <c:idx val="5"/>
          <c:order val="5"/>
          <c:tx>
            <c:strRef>
              <c:f>estatisticas!$M$41</c:f>
              <c:strCache>
                <c:ptCount val="1"/>
                <c:pt idx="0">
                  <c:v>Tentivas médias</c:v>
                </c:pt>
              </c:strCache>
            </c:strRef>
          </c:tx>
          <c:invertIfNegative val="1"/>
          <c:cat>
            <c:strRef>
              <c:f>estatisticas!$K$6:$K$7</c:f>
              <c:strCache>
                <c:ptCount val="2"/>
                <c:pt idx="0">
                  <c:v>Com Clean Code</c:v>
                </c:pt>
                <c:pt idx="1">
                  <c:v>Sem Clean Code</c:v>
                </c:pt>
              </c:strCache>
            </c:strRef>
          </c:cat>
          <c:val>
            <c:numRef>
              <c:f>estatisticas!$M$42:$M$43</c:f>
              <c:numCache>
                <c:formatCode>0.00</c:formatCode>
                <c:ptCount val="2"/>
                <c:pt idx="0">
                  <c:v>1.0625</c:v>
                </c:pt>
                <c:pt idx="1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A8-455D-8C90-00666B66A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0728782"/>
        <c:axId val="1002832885"/>
      </c:barChart>
      <c:catAx>
        <c:axId val="670728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02832885"/>
        <c:crosses val="autoZero"/>
        <c:auto val="1"/>
        <c:lblAlgn val="ctr"/>
        <c:lblOffset val="100"/>
        <c:noMultiLvlLbl val="1"/>
      </c:catAx>
      <c:valAx>
        <c:axId val="100283288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média de tentativas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707287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estatisticas!$C$106</c:f>
              <c:strCache>
                <c:ptCount val="1"/>
                <c:pt idx="0">
                  <c:v>PORCENTAGEM DOS VOTOS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estatisticas!$A$107:$A$112</c:f>
              <c:strCache>
                <c:ptCount val="6"/>
                <c:pt idx="0">
                  <c:v>Nomes claros com Clean Code</c:v>
                </c:pt>
                <c:pt idx="1">
                  <c:v>Nomes claros sem Clean Code</c:v>
                </c:pt>
                <c:pt idx="2">
                  <c:v>Multiplos parâmetros com Clean Code</c:v>
                </c:pt>
                <c:pt idx="3">
                  <c:v>Multiplos parâmetros sem Clean Code</c:v>
                </c:pt>
                <c:pt idx="4">
                  <c:v>Funções curtas com Clean Code</c:v>
                </c:pt>
                <c:pt idx="5">
                  <c:v>Funções curtas sem Clean Code</c:v>
                </c:pt>
              </c:strCache>
            </c:strRef>
          </c:cat>
          <c:val>
            <c:numRef>
              <c:f>estatisticas!$C$107:$C$112</c:f>
              <c:numCache>
                <c:formatCode>0.00%</c:formatCode>
                <c:ptCount val="6"/>
                <c:pt idx="0">
                  <c:v>0.5</c:v>
                </c:pt>
                <c:pt idx="1">
                  <c:v>0.5</c:v>
                </c:pt>
                <c:pt idx="2">
                  <c:v>0.59375</c:v>
                </c:pt>
                <c:pt idx="3">
                  <c:v>0.40625</c:v>
                </c:pt>
                <c:pt idx="4">
                  <c:v>0.8125</c:v>
                </c:pt>
                <c:pt idx="5">
                  <c:v>0.1875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E45-4855-BC3F-A97D86842831}"/>
            </c:ext>
          </c:extLst>
        </c:ser>
        <c:ser>
          <c:idx val="1"/>
          <c:order val="1"/>
          <c:tx>
            <c:strRef>
              <c:f>estatisticas!$C$106</c:f>
              <c:strCache>
                <c:ptCount val="1"/>
                <c:pt idx="0">
                  <c:v>PORCENTAGEM DOS VOTOS</c:v>
                </c:pt>
              </c:strCache>
            </c:strRef>
          </c:tx>
          <c:invertIfNegative val="1"/>
          <c:cat>
            <c:strRef>
              <c:f>estatisticas!$A$107:$A$112</c:f>
              <c:strCache>
                <c:ptCount val="6"/>
                <c:pt idx="0">
                  <c:v>Nomes claros com Clean Code</c:v>
                </c:pt>
                <c:pt idx="1">
                  <c:v>Nomes claros sem Clean Code</c:v>
                </c:pt>
                <c:pt idx="2">
                  <c:v>Multiplos parâmetros com Clean Code</c:v>
                </c:pt>
                <c:pt idx="3">
                  <c:v>Multiplos parâmetros sem Clean Code</c:v>
                </c:pt>
                <c:pt idx="4">
                  <c:v>Funções curtas com Clean Code</c:v>
                </c:pt>
                <c:pt idx="5">
                  <c:v>Funções curtas sem Clean Code</c:v>
                </c:pt>
              </c:strCache>
            </c:strRef>
          </c:cat>
          <c:val>
            <c:numRef>
              <c:f>estatisticas!$C$107:$C$112</c:f>
              <c:numCache>
                <c:formatCode>0.00%</c:formatCode>
                <c:ptCount val="6"/>
                <c:pt idx="0">
                  <c:v>0.5</c:v>
                </c:pt>
                <c:pt idx="1">
                  <c:v>0.5</c:v>
                </c:pt>
                <c:pt idx="2">
                  <c:v>0.59375</c:v>
                </c:pt>
                <c:pt idx="3">
                  <c:v>0.40625</c:v>
                </c:pt>
                <c:pt idx="4">
                  <c:v>0.8125</c:v>
                </c:pt>
                <c:pt idx="5">
                  <c:v>0.1875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45-4855-BC3F-A97D86842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0854636"/>
        <c:axId val="1470770195"/>
      </c:barChart>
      <c:catAx>
        <c:axId val="15808546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70770195"/>
        <c:crosses val="autoZero"/>
        <c:auto val="1"/>
        <c:lblAlgn val="ctr"/>
        <c:lblOffset val="100"/>
        <c:noMultiLvlLbl val="1"/>
      </c:catAx>
      <c:valAx>
        <c:axId val="1470770195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8085463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190500</xdr:rowOff>
    </xdr:from>
    <xdr:ext cx="571500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876300</xdr:colOff>
      <xdr:row>0</xdr:row>
      <xdr:rowOff>190500</xdr:rowOff>
    </xdr:from>
    <xdr:ext cx="5715000" cy="3533775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9525</xdr:colOff>
      <xdr:row>19</xdr:row>
      <xdr:rowOff>114300</xdr:rowOff>
    </xdr:from>
    <xdr:ext cx="5715000" cy="3533775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6</xdr:col>
      <xdr:colOff>876300</xdr:colOff>
      <xdr:row>19</xdr:row>
      <xdr:rowOff>114300</xdr:rowOff>
    </xdr:from>
    <xdr:ext cx="5715000" cy="3533775"/>
    <xdr:graphicFrame macro="">
      <xdr:nvGraphicFramePr>
        <xdr:cNvPr id="5" name="Chart 4" title="Gráfic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619125</xdr:colOff>
      <xdr:row>0</xdr:row>
      <xdr:rowOff>142875</xdr:rowOff>
    </xdr:from>
    <xdr:ext cx="5715000" cy="3533775"/>
    <xdr:graphicFrame macro="">
      <xdr:nvGraphicFramePr>
        <xdr:cNvPr id="6" name="Chart 5" title="Gráfic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0</xdr:col>
      <xdr:colOff>257175</xdr:colOff>
      <xdr:row>39</xdr:row>
      <xdr:rowOff>76200</xdr:rowOff>
    </xdr:from>
    <xdr:ext cx="5715000" cy="3533775"/>
    <xdr:graphicFrame macro="">
      <xdr:nvGraphicFramePr>
        <xdr:cNvPr id="7" name="Chart 6" title="Gráfic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0</xdr:col>
      <xdr:colOff>819150</xdr:colOff>
      <xdr:row>63</xdr:row>
      <xdr:rowOff>19050</xdr:rowOff>
    </xdr:from>
    <xdr:ext cx="5715000" cy="3533775"/>
    <xdr:graphicFrame macro="">
      <xdr:nvGraphicFramePr>
        <xdr:cNvPr id="8" name="Chart 7" title="Gráfic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0</xdr:col>
      <xdr:colOff>866775</xdr:colOff>
      <xdr:row>86</xdr:row>
      <xdr:rowOff>0</xdr:rowOff>
    </xdr:from>
    <xdr:ext cx="5715000" cy="3533775"/>
    <xdr:graphicFrame macro="">
      <xdr:nvGraphicFramePr>
        <xdr:cNvPr id="9" name="Chart 8" title="Gráfic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0</xdr:col>
      <xdr:colOff>819150</xdr:colOff>
      <xdr:row>107</xdr:row>
      <xdr:rowOff>57150</xdr:rowOff>
    </xdr:from>
    <xdr:ext cx="5715000" cy="3533775"/>
    <xdr:graphicFrame macro="">
      <xdr:nvGraphicFramePr>
        <xdr:cNvPr id="10" name="Chart 9" title="Gráfic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</xdr:col>
      <xdr:colOff>1095375</xdr:colOff>
      <xdr:row>153</xdr:row>
      <xdr:rowOff>190500</xdr:rowOff>
    </xdr:from>
    <xdr:ext cx="5715000" cy="3533775"/>
    <xdr:graphicFrame macro="">
      <xdr:nvGraphicFramePr>
        <xdr:cNvPr id="11" name="Chart 10" title="Gráfic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1</xdr:col>
      <xdr:colOff>790575</xdr:colOff>
      <xdr:row>131</xdr:row>
      <xdr:rowOff>85725</xdr:rowOff>
    </xdr:from>
    <xdr:ext cx="5715000" cy="3533775"/>
    <xdr:graphicFrame macro="">
      <xdr:nvGraphicFramePr>
        <xdr:cNvPr id="12" name="Chart 11" title="Gráfic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1</xdr:col>
      <xdr:colOff>1762125</xdr:colOff>
      <xdr:row>175</xdr:row>
      <xdr:rowOff>180975</xdr:rowOff>
    </xdr:from>
    <xdr:ext cx="6019800" cy="3533775"/>
    <xdr:graphicFrame macro="">
      <xdr:nvGraphicFramePr>
        <xdr:cNvPr id="13" name="Chart 12" title="Gráfic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lio candeia" refreshedDate="46247.670047453707" refreshedVersion="7" recordCount="186" xr:uid="{00000000-000A-0000-FFFF-FFFF00000000}">
  <cacheSource type="worksheet">
    <worksheetSource ref="A2:F194" sheet="base dados"/>
  </cacheSource>
  <cacheFields count="6">
    <cacheField name="participantes" numFmtId="0">
      <sharedItems containsBlank="1"/>
    </cacheField>
    <cacheField name="tarefas" numFmtId="0">
      <sharedItems count="12">
        <s v="1S"/>
        <s v="2S"/>
        <s v="3S"/>
        <s v="4C"/>
        <s v="5C"/>
        <s v="6C"/>
        <s v="1C"/>
        <s v="2C"/>
        <s v="3C"/>
        <s v="4S"/>
        <s v="5S"/>
        <s v="6S"/>
      </sharedItems>
    </cacheField>
    <cacheField name="tentativas" numFmtId="0">
      <sharedItems containsSemiMixedTypes="0" containsString="0" containsNumber="1" containsInteger="1" minValue="1" maxValue="4"/>
    </cacheField>
    <cacheField name="tempo" numFmtId="0">
      <sharedItems containsSemiMixedTypes="0" containsString="0" containsNumber="1" containsInteger="1" minValue="9" maxValue="348"/>
    </cacheField>
    <cacheField name="avaliar dificuldade 1-5" numFmtId="0">
      <sharedItems containsSemiMixedTypes="0" containsString="0" containsNumber="1" containsInteger="1" minValue="1" maxValue="5"/>
    </cacheField>
    <cacheField name="comparações de códig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">
  <r>
    <s v="participante 01 (PAR)"/>
    <x v="0"/>
    <n v="1"/>
    <n v="172"/>
    <n v="3"/>
    <s v="1C"/>
  </r>
  <r>
    <m/>
    <x v="1"/>
    <n v="1"/>
    <n v="113"/>
    <n v="1"/>
    <s v="2C"/>
  </r>
  <r>
    <m/>
    <x v="2"/>
    <n v="1"/>
    <n v="37"/>
    <n v="1"/>
    <s v="3C"/>
  </r>
  <r>
    <m/>
    <x v="3"/>
    <n v="1"/>
    <n v="31"/>
    <n v="1"/>
    <s v="-"/>
  </r>
  <r>
    <m/>
    <x v="4"/>
    <n v="1"/>
    <n v="248"/>
    <n v="5"/>
    <s v="-"/>
  </r>
  <r>
    <m/>
    <x v="5"/>
    <n v="1"/>
    <n v="26"/>
    <n v="2"/>
    <s v="-"/>
  </r>
  <r>
    <s v="participante 02 (ÌMPAR)"/>
    <x v="6"/>
    <n v="1"/>
    <n v="124"/>
    <n v="1"/>
    <s v="-"/>
  </r>
  <r>
    <m/>
    <x v="7"/>
    <n v="1"/>
    <n v="93"/>
    <n v="1"/>
    <s v="-"/>
  </r>
  <r>
    <m/>
    <x v="8"/>
    <n v="1"/>
    <n v="40"/>
    <n v="1"/>
    <s v="-"/>
  </r>
  <r>
    <m/>
    <x v="9"/>
    <n v="1"/>
    <n v="57"/>
    <n v="1"/>
    <s v="4C"/>
  </r>
  <r>
    <m/>
    <x v="10"/>
    <n v="2"/>
    <n v="298"/>
    <n v="3"/>
    <s v="5C"/>
  </r>
  <r>
    <m/>
    <x v="11"/>
    <n v="2"/>
    <n v="216"/>
    <n v="3"/>
    <s v="6C"/>
  </r>
  <r>
    <s v="participante 03 (PAR)"/>
    <x v="0"/>
    <n v="1"/>
    <n v="44"/>
    <n v="1"/>
    <s v="1S"/>
  </r>
  <r>
    <m/>
    <x v="1"/>
    <n v="1"/>
    <n v="27"/>
    <n v="2"/>
    <s v="2S"/>
  </r>
  <r>
    <m/>
    <x v="2"/>
    <n v="2"/>
    <n v="88"/>
    <n v="1"/>
    <s v="3C"/>
  </r>
  <r>
    <m/>
    <x v="3"/>
    <n v="1"/>
    <n v="10"/>
    <n v="1"/>
    <s v="-"/>
  </r>
  <r>
    <m/>
    <x v="4"/>
    <n v="2"/>
    <n v="61"/>
    <n v="3"/>
    <s v="-"/>
  </r>
  <r>
    <m/>
    <x v="5"/>
    <n v="1"/>
    <n v="27"/>
    <n v="2"/>
    <s v="-"/>
  </r>
  <r>
    <s v="participante 04 (ÍMPAR)"/>
    <x v="6"/>
    <n v="1"/>
    <n v="93"/>
    <n v="2"/>
    <s v="-"/>
  </r>
  <r>
    <m/>
    <x v="7"/>
    <n v="1"/>
    <n v="39"/>
    <n v="1"/>
    <s v="-"/>
  </r>
  <r>
    <m/>
    <x v="8"/>
    <n v="1"/>
    <n v="46"/>
    <n v="2"/>
    <s v="-"/>
  </r>
  <r>
    <m/>
    <x v="9"/>
    <n v="1"/>
    <n v="36"/>
    <n v="2"/>
    <s v="4C"/>
  </r>
  <r>
    <m/>
    <x v="10"/>
    <n v="2"/>
    <n v="124"/>
    <n v="3"/>
    <s v="5C"/>
  </r>
  <r>
    <m/>
    <x v="11"/>
    <n v="1"/>
    <n v="79"/>
    <n v="3"/>
    <s v="6C"/>
  </r>
  <r>
    <s v="participante 05 (PAR)"/>
    <x v="0"/>
    <n v="1"/>
    <n v="83"/>
    <n v="2"/>
    <s v="1C"/>
  </r>
  <r>
    <m/>
    <x v="1"/>
    <n v="1"/>
    <n v="65"/>
    <n v="1"/>
    <s v="2C"/>
  </r>
  <r>
    <m/>
    <x v="2"/>
    <n v="1"/>
    <n v="16"/>
    <n v="1"/>
    <s v="3C"/>
  </r>
  <r>
    <m/>
    <x v="3"/>
    <n v="1"/>
    <n v="29"/>
    <n v="2"/>
    <s v="-"/>
  </r>
  <r>
    <m/>
    <x v="4"/>
    <n v="2"/>
    <n v="105"/>
    <n v="3"/>
    <s v="-"/>
  </r>
  <r>
    <m/>
    <x v="5"/>
    <n v="2"/>
    <n v="142"/>
    <n v="3"/>
    <s v="-"/>
  </r>
  <r>
    <s v="participante 06 (ÍMPAR)"/>
    <x v="6"/>
    <n v="1"/>
    <n v="54"/>
    <n v="2"/>
    <s v="-"/>
  </r>
  <r>
    <m/>
    <x v="7"/>
    <n v="1"/>
    <n v="58"/>
    <n v="1"/>
    <s v="-"/>
  </r>
  <r>
    <m/>
    <x v="8"/>
    <n v="1"/>
    <n v="54"/>
    <n v="1"/>
    <s v="-"/>
  </r>
  <r>
    <m/>
    <x v="9"/>
    <n v="1"/>
    <n v="103"/>
    <n v="2"/>
    <s v="4C"/>
  </r>
  <r>
    <m/>
    <x v="10"/>
    <n v="4"/>
    <n v="255"/>
    <n v="4"/>
    <s v="5S"/>
  </r>
  <r>
    <m/>
    <x v="11"/>
    <n v="1"/>
    <n v="24"/>
    <n v="2"/>
    <s v="6C"/>
  </r>
  <r>
    <s v="participante 07 (PAR)"/>
    <x v="0"/>
    <n v="2"/>
    <n v="214"/>
    <n v="3"/>
    <s v="1S"/>
  </r>
  <r>
    <m/>
    <x v="1"/>
    <n v="1"/>
    <n v="19"/>
    <n v="1"/>
    <s v="2S"/>
  </r>
  <r>
    <m/>
    <x v="2"/>
    <n v="1"/>
    <n v="39"/>
    <n v="2"/>
    <s v="3S"/>
  </r>
  <r>
    <m/>
    <x v="3"/>
    <n v="1"/>
    <n v="86"/>
    <n v="1"/>
    <s v="-"/>
  </r>
  <r>
    <m/>
    <x v="4"/>
    <n v="1"/>
    <n v="50"/>
    <n v="1"/>
    <s v="-"/>
  </r>
  <r>
    <m/>
    <x v="5"/>
    <n v="1"/>
    <n v="47"/>
    <n v="2"/>
    <s v="-"/>
  </r>
  <r>
    <s v="participante 08 (ÍMPAR)"/>
    <x v="6"/>
    <n v="1"/>
    <n v="82"/>
    <n v="1"/>
    <s v="-"/>
  </r>
  <r>
    <m/>
    <x v="7"/>
    <n v="1"/>
    <n v="32"/>
    <n v="1"/>
    <s v="-"/>
  </r>
  <r>
    <m/>
    <x v="8"/>
    <n v="2"/>
    <n v="88"/>
    <n v="3"/>
    <s v="-"/>
  </r>
  <r>
    <m/>
    <x v="9"/>
    <n v="1"/>
    <n v="55"/>
    <n v="2"/>
    <s v="4C"/>
  </r>
  <r>
    <m/>
    <x v="10"/>
    <n v="4"/>
    <n v="170"/>
    <n v="4"/>
    <s v="5S"/>
  </r>
  <r>
    <m/>
    <x v="11"/>
    <n v="2"/>
    <n v="74"/>
    <n v="2"/>
    <s v="6C"/>
  </r>
  <r>
    <s v="participante 09 (PAR)"/>
    <x v="0"/>
    <n v="1"/>
    <n v="141"/>
    <n v="2"/>
    <s v="1C"/>
  </r>
  <r>
    <m/>
    <x v="1"/>
    <n v="1"/>
    <n v="62"/>
    <n v="2"/>
    <s v="2C"/>
  </r>
  <r>
    <m/>
    <x v="2"/>
    <n v="1"/>
    <n v="37"/>
    <n v="1"/>
    <s v="3S"/>
  </r>
  <r>
    <m/>
    <x v="3"/>
    <n v="1"/>
    <n v="47"/>
    <n v="3"/>
    <s v="-"/>
  </r>
  <r>
    <m/>
    <x v="4"/>
    <n v="1"/>
    <n v="113"/>
    <n v="3"/>
    <s v="-"/>
  </r>
  <r>
    <m/>
    <x v="5"/>
    <n v="1"/>
    <n v="68"/>
    <n v="4"/>
    <s v="-"/>
  </r>
  <r>
    <s v="participante 10 (ÍMPAR)"/>
    <x v="6"/>
    <n v="2"/>
    <n v="160"/>
    <n v="3"/>
    <s v="-"/>
  </r>
  <r>
    <m/>
    <x v="7"/>
    <n v="2"/>
    <n v="248"/>
    <n v="4"/>
    <s v="-"/>
  </r>
  <r>
    <m/>
    <x v="8"/>
    <n v="1"/>
    <n v="184"/>
    <n v="2"/>
    <s v="-"/>
  </r>
  <r>
    <m/>
    <x v="9"/>
    <n v="1"/>
    <n v="90"/>
    <n v="1"/>
    <s v="4C"/>
  </r>
  <r>
    <m/>
    <x v="10"/>
    <n v="1"/>
    <n v="199"/>
    <n v="3"/>
    <s v="5C"/>
  </r>
  <r>
    <m/>
    <x v="11"/>
    <n v="2"/>
    <n v="177"/>
    <n v="2"/>
    <s v="6C"/>
  </r>
  <r>
    <s v="participante 11 (PAR)"/>
    <x v="0"/>
    <n v="2"/>
    <n v="214"/>
    <n v="4"/>
    <s v="1S"/>
  </r>
  <r>
    <m/>
    <x v="1"/>
    <n v="1"/>
    <n v="112"/>
    <n v="2"/>
    <s v="2S"/>
  </r>
  <r>
    <m/>
    <x v="2"/>
    <n v="1"/>
    <n v="35"/>
    <n v="2"/>
    <s v="3S"/>
  </r>
  <r>
    <m/>
    <x v="3"/>
    <n v="1"/>
    <n v="33"/>
    <n v="1"/>
    <s v="-"/>
  </r>
  <r>
    <m/>
    <x v="4"/>
    <n v="1"/>
    <n v="104"/>
    <n v="4"/>
    <s v="-"/>
  </r>
  <r>
    <m/>
    <x v="5"/>
    <n v="1"/>
    <n v="37"/>
    <n v="3"/>
    <s v="-"/>
  </r>
  <r>
    <s v="participante 12 (ÍMPAR)"/>
    <x v="6"/>
    <n v="1"/>
    <n v="67"/>
    <n v="1"/>
    <s v="-"/>
  </r>
  <r>
    <m/>
    <x v="7"/>
    <n v="1"/>
    <n v="22"/>
    <n v="2"/>
    <s v="-"/>
  </r>
  <r>
    <m/>
    <x v="8"/>
    <n v="1"/>
    <n v="12"/>
    <n v="1"/>
    <s v="-"/>
  </r>
  <r>
    <m/>
    <x v="9"/>
    <n v="1"/>
    <n v="15"/>
    <n v="1"/>
    <s v="4C"/>
  </r>
  <r>
    <m/>
    <x v="10"/>
    <n v="2"/>
    <n v="60"/>
    <n v="3"/>
    <s v="5C"/>
  </r>
  <r>
    <m/>
    <x v="11"/>
    <n v="1"/>
    <n v="25"/>
    <n v="3"/>
    <s v="6C"/>
  </r>
  <r>
    <s v="participante 13 (PAR)"/>
    <x v="0"/>
    <n v="1"/>
    <n v="107"/>
    <n v="2"/>
    <s v="1C"/>
  </r>
  <r>
    <m/>
    <x v="1"/>
    <n v="1"/>
    <n v="55"/>
    <n v="1"/>
    <s v="2S"/>
  </r>
  <r>
    <m/>
    <x v="2"/>
    <n v="1"/>
    <n v="30"/>
    <n v="1"/>
    <s v="3S"/>
  </r>
  <r>
    <m/>
    <x v="3"/>
    <n v="1"/>
    <n v="19"/>
    <n v="1"/>
    <s v="-"/>
  </r>
  <r>
    <m/>
    <x v="4"/>
    <n v="1"/>
    <n v="66"/>
    <n v="2"/>
    <s v="-"/>
  </r>
  <r>
    <m/>
    <x v="5"/>
    <n v="1"/>
    <n v="46"/>
    <n v="2"/>
    <s v="-"/>
  </r>
  <r>
    <s v="participante 14 (ÍMPAR)"/>
    <x v="6"/>
    <n v="1"/>
    <n v="39"/>
    <n v="1"/>
    <s v="-"/>
  </r>
  <r>
    <m/>
    <x v="7"/>
    <n v="3"/>
    <n v="114"/>
    <n v="3"/>
    <s v="-"/>
  </r>
  <r>
    <m/>
    <x v="8"/>
    <n v="1"/>
    <n v="16"/>
    <n v="3"/>
    <s v="-"/>
  </r>
  <r>
    <m/>
    <x v="9"/>
    <n v="1"/>
    <n v="12"/>
    <n v="1"/>
    <s v="4C"/>
  </r>
  <r>
    <m/>
    <x v="10"/>
    <n v="1"/>
    <n v="41"/>
    <n v="1"/>
    <s v="5C"/>
  </r>
  <r>
    <m/>
    <x v="11"/>
    <n v="1"/>
    <n v="9"/>
    <n v="1"/>
    <s v="6C"/>
  </r>
  <r>
    <s v="participante 15 (PAR)"/>
    <x v="0"/>
    <n v="1"/>
    <n v="137"/>
    <n v="1"/>
    <s v="1C"/>
  </r>
  <r>
    <m/>
    <x v="1"/>
    <n v="1"/>
    <n v="89"/>
    <n v="2"/>
    <s v="2S"/>
  </r>
  <r>
    <m/>
    <x v="2"/>
    <n v="1"/>
    <n v="32"/>
    <n v="1"/>
    <s v="3S"/>
  </r>
  <r>
    <m/>
    <x v="3"/>
    <n v="1"/>
    <n v="78"/>
    <n v="2"/>
    <s v="-"/>
  </r>
  <r>
    <m/>
    <x v="4"/>
    <n v="2"/>
    <n v="153"/>
    <n v="4"/>
    <s v="-"/>
  </r>
  <r>
    <m/>
    <x v="5"/>
    <n v="1"/>
    <n v="79"/>
    <n v="2"/>
    <s v="-"/>
  </r>
  <r>
    <s v="participante 16 (ÍMPAR)"/>
    <x v="6"/>
    <n v="1"/>
    <n v="169"/>
    <n v="1"/>
    <s v="-"/>
  </r>
  <r>
    <m/>
    <x v="7"/>
    <n v="1"/>
    <n v="70"/>
    <n v="1"/>
    <s v="-"/>
  </r>
  <r>
    <m/>
    <x v="8"/>
    <n v="1"/>
    <n v="48"/>
    <n v="2"/>
    <s v="-"/>
  </r>
  <r>
    <m/>
    <x v="9"/>
    <n v="1"/>
    <n v="78"/>
    <n v="2"/>
    <s v="4S"/>
  </r>
  <r>
    <m/>
    <x v="10"/>
    <n v="2"/>
    <n v="346"/>
    <n v="4"/>
    <s v="5S"/>
  </r>
  <r>
    <m/>
    <x v="11"/>
    <n v="1"/>
    <n v="78"/>
    <n v="4"/>
    <s v="6C"/>
  </r>
  <r>
    <s v="participante 17 (PAR)"/>
    <x v="0"/>
    <n v="2"/>
    <n v="188"/>
    <n v="3"/>
    <s v="1S"/>
  </r>
  <r>
    <m/>
    <x v="1"/>
    <n v="1"/>
    <n v="89"/>
    <n v="2"/>
    <s v="2C"/>
  </r>
  <r>
    <m/>
    <x v="2"/>
    <n v="1"/>
    <n v="28"/>
    <n v="1"/>
    <s v="3C"/>
  </r>
  <r>
    <m/>
    <x v="3"/>
    <n v="1"/>
    <n v="21"/>
    <n v="1"/>
    <s v="-"/>
  </r>
  <r>
    <m/>
    <x v="4"/>
    <n v="1"/>
    <n v="85"/>
    <n v="3"/>
    <s v="-"/>
  </r>
  <r>
    <m/>
    <x v="5"/>
    <n v="1"/>
    <n v="47"/>
    <n v="4"/>
    <s v="-"/>
  </r>
  <r>
    <s v="participante 18 (ÍMPAR)"/>
    <x v="6"/>
    <n v="1"/>
    <n v="96"/>
    <n v="4"/>
    <s v="-"/>
  </r>
  <r>
    <m/>
    <x v="7"/>
    <n v="1"/>
    <n v="100"/>
    <n v="3"/>
    <s v="-"/>
  </r>
  <r>
    <m/>
    <x v="8"/>
    <n v="1"/>
    <n v="50"/>
    <n v="1"/>
    <s v="-"/>
  </r>
  <r>
    <m/>
    <x v="9"/>
    <n v="1"/>
    <n v="59"/>
    <n v="4"/>
    <s v="4C"/>
  </r>
  <r>
    <m/>
    <x v="10"/>
    <n v="2"/>
    <n v="168"/>
    <n v="3"/>
    <s v="5C"/>
  </r>
  <r>
    <m/>
    <x v="11"/>
    <n v="1"/>
    <n v="61"/>
    <n v="4"/>
    <s v="6C"/>
  </r>
  <r>
    <s v="participante 19 (PAR)"/>
    <x v="0"/>
    <n v="4"/>
    <n v="313"/>
    <n v="4"/>
    <s v="1S"/>
  </r>
  <r>
    <m/>
    <x v="1"/>
    <n v="1"/>
    <n v="67"/>
    <n v="1"/>
    <s v="2C"/>
  </r>
  <r>
    <m/>
    <x v="2"/>
    <n v="2"/>
    <n v="17"/>
    <n v="1"/>
    <s v="3S"/>
  </r>
  <r>
    <m/>
    <x v="3"/>
    <n v="1"/>
    <n v="71"/>
    <n v="2"/>
    <s v="-"/>
  </r>
  <r>
    <m/>
    <x v="4"/>
    <n v="1"/>
    <n v="243"/>
    <n v="3"/>
    <s v="-"/>
  </r>
  <r>
    <m/>
    <x v="5"/>
    <n v="1"/>
    <n v="40"/>
    <n v="2"/>
    <s v="-"/>
  </r>
  <r>
    <s v="participante 20 (ÍMPAR)"/>
    <x v="6"/>
    <n v="1"/>
    <n v="78"/>
    <n v="1"/>
    <s v="-"/>
  </r>
  <r>
    <m/>
    <x v="7"/>
    <n v="1"/>
    <n v="30"/>
    <n v="1"/>
    <s v="-"/>
  </r>
  <r>
    <m/>
    <x v="8"/>
    <n v="2"/>
    <n v="111"/>
    <n v="2"/>
    <s v="-"/>
  </r>
  <r>
    <m/>
    <x v="9"/>
    <n v="1"/>
    <n v="24"/>
    <n v="1"/>
    <s v="4C"/>
  </r>
  <r>
    <m/>
    <x v="10"/>
    <n v="4"/>
    <n v="199"/>
    <n v="4"/>
    <s v="5C"/>
  </r>
  <r>
    <m/>
    <x v="11"/>
    <n v="1"/>
    <n v="23"/>
    <n v="1"/>
    <s v="6C"/>
  </r>
  <r>
    <s v="participante 21 (PAR)"/>
    <x v="0"/>
    <n v="1"/>
    <n v="115"/>
    <n v="1"/>
    <s v="1S"/>
  </r>
  <r>
    <m/>
    <x v="1"/>
    <n v="1"/>
    <n v="64"/>
    <n v="3"/>
    <s v="2C"/>
  </r>
  <r>
    <m/>
    <x v="2"/>
    <n v="1"/>
    <n v="41"/>
    <n v="1"/>
    <s v="3C"/>
  </r>
  <r>
    <m/>
    <x v="3"/>
    <n v="1"/>
    <n v="22"/>
    <n v="1"/>
    <s v="-"/>
  </r>
  <r>
    <m/>
    <x v="4"/>
    <n v="1"/>
    <n v="74"/>
    <n v="4"/>
    <s v="-"/>
  </r>
  <r>
    <m/>
    <x v="5"/>
    <n v="1"/>
    <n v="51"/>
    <n v="5"/>
    <s v="-"/>
  </r>
  <r>
    <s v="participante 22 (ÍMPAR)"/>
    <x v="6"/>
    <n v="1"/>
    <n v="45"/>
    <n v="1"/>
    <s v="-"/>
  </r>
  <r>
    <m/>
    <x v="7"/>
    <n v="2"/>
    <n v="150"/>
    <n v="4"/>
    <s v="-"/>
  </r>
  <r>
    <m/>
    <x v="8"/>
    <n v="1"/>
    <n v="30"/>
    <n v="2"/>
    <s v="-"/>
  </r>
  <r>
    <m/>
    <x v="9"/>
    <n v="1"/>
    <n v="14"/>
    <n v="1"/>
    <s v="4C"/>
  </r>
  <r>
    <m/>
    <x v="10"/>
    <n v="2"/>
    <n v="99"/>
    <n v="3"/>
    <s v="5C"/>
  </r>
  <r>
    <m/>
    <x v="11"/>
    <n v="1"/>
    <n v="18"/>
    <n v="1"/>
    <s v="6S"/>
  </r>
  <r>
    <s v="participante 23 (PAR)"/>
    <x v="0"/>
    <n v="1"/>
    <n v="97"/>
    <n v="4"/>
    <s v="1C"/>
  </r>
  <r>
    <m/>
    <x v="1"/>
    <n v="1"/>
    <n v="112"/>
    <n v="2"/>
    <s v="2S"/>
  </r>
  <r>
    <m/>
    <x v="2"/>
    <n v="1"/>
    <n v="56"/>
    <n v="1"/>
    <s v="3S"/>
  </r>
  <r>
    <m/>
    <x v="3"/>
    <n v="1"/>
    <n v="41"/>
    <n v="2"/>
    <s v="-"/>
  </r>
  <r>
    <m/>
    <x v="4"/>
    <n v="1"/>
    <n v="97"/>
    <n v="4"/>
    <s v="-"/>
  </r>
  <r>
    <m/>
    <x v="5"/>
    <n v="1"/>
    <n v="64"/>
    <n v="4"/>
    <s v="-"/>
  </r>
  <r>
    <s v="participante 24 (ÍMPAR)"/>
    <x v="6"/>
    <n v="1"/>
    <n v="91"/>
    <n v="1"/>
    <s v="-"/>
  </r>
  <r>
    <m/>
    <x v="7"/>
    <n v="1"/>
    <n v="143"/>
    <n v="1"/>
    <s v="-"/>
  </r>
  <r>
    <m/>
    <x v="8"/>
    <n v="1"/>
    <n v="55"/>
    <n v="1"/>
    <s v="-"/>
  </r>
  <r>
    <m/>
    <x v="9"/>
    <n v="1"/>
    <n v="49"/>
    <n v="3"/>
    <s v="4C"/>
  </r>
  <r>
    <m/>
    <x v="10"/>
    <n v="2"/>
    <n v="348"/>
    <n v="3"/>
    <s v="5C"/>
  </r>
  <r>
    <m/>
    <x v="11"/>
    <n v="1"/>
    <n v="196"/>
    <n v="4"/>
    <s v="6C"/>
  </r>
  <r>
    <s v="participante 25 (PAR)"/>
    <x v="0"/>
    <n v="2"/>
    <n v="248"/>
    <n v="4"/>
    <s v="1C"/>
  </r>
  <r>
    <m/>
    <x v="1"/>
    <n v="4"/>
    <n v="180"/>
    <n v="3"/>
    <s v="2C"/>
  </r>
  <r>
    <m/>
    <x v="2"/>
    <n v="1"/>
    <n v="33"/>
    <n v="1"/>
    <s v="3S"/>
  </r>
  <r>
    <m/>
    <x v="3"/>
    <n v="1"/>
    <n v="34"/>
    <n v="1"/>
    <s v="-"/>
  </r>
  <r>
    <m/>
    <x v="4"/>
    <n v="4"/>
    <n v="258"/>
    <n v="3"/>
    <s v="-"/>
  </r>
  <r>
    <m/>
    <x v="5"/>
    <n v="1"/>
    <n v="44"/>
    <n v="1"/>
    <s v="-"/>
  </r>
  <r>
    <s v="participante 26 (ÍMPAR)"/>
    <x v="6"/>
    <n v="1"/>
    <n v="71"/>
    <n v="2"/>
    <s v="-"/>
  </r>
  <r>
    <m/>
    <x v="7"/>
    <n v="1"/>
    <n v="55"/>
    <n v="3"/>
    <s v="-"/>
  </r>
  <r>
    <m/>
    <x v="8"/>
    <n v="1"/>
    <n v="74"/>
    <n v="1"/>
    <s v="-"/>
  </r>
  <r>
    <m/>
    <x v="9"/>
    <n v="1"/>
    <n v="52"/>
    <n v="1"/>
    <s v="4C"/>
  </r>
  <r>
    <m/>
    <x v="10"/>
    <n v="2"/>
    <n v="144"/>
    <n v="4"/>
    <s v="5C"/>
  </r>
  <r>
    <m/>
    <x v="11"/>
    <n v="1"/>
    <n v="51"/>
    <n v="1"/>
    <s v="6S"/>
  </r>
  <r>
    <s v="participante 27 (PAR)"/>
    <x v="0"/>
    <n v="1"/>
    <n v="81"/>
    <n v="2"/>
    <s v="1C"/>
  </r>
  <r>
    <m/>
    <x v="1"/>
    <n v="2"/>
    <n v="141"/>
    <n v="3"/>
    <s v="2S"/>
  </r>
  <r>
    <m/>
    <x v="2"/>
    <n v="1"/>
    <n v="21"/>
    <n v="1"/>
    <s v="3S"/>
  </r>
  <r>
    <m/>
    <x v="3"/>
    <n v="1"/>
    <n v="17"/>
    <n v="1"/>
    <s v="-"/>
  </r>
  <r>
    <m/>
    <x v="4"/>
    <n v="1"/>
    <n v="57"/>
    <n v="2"/>
    <s v="-"/>
  </r>
  <r>
    <m/>
    <x v="5"/>
    <n v="1"/>
    <n v="13"/>
    <n v="1"/>
    <s v="-"/>
  </r>
  <r>
    <s v="participante 28 (ÍMPAR)"/>
    <x v="6"/>
    <n v="1"/>
    <n v="104"/>
    <n v="1"/>
    <s v="-"/>
  </r>
  <r>
    <m/>
    <x v="7"/>
    <n v="2"/>
    <n v="89"/>
    <n v="3"/>
    <s v="-"/>
  </r>
  <r>
    <m/>
    <x v="8"/>
    <n v="1"/>
    <n v="48"/>
    <n v="4"/>
    <s v="-"/>
  </r>
  <r>
    <m/>
    <x v="9"/>
    <n v="1"/>
    <n v="77"/>
    <n v="2"/>
    <s v="4C"/>
  </r>
  <r>
    <m/>
    <x v="10"/>
    <n v="2"/>
    <n v="124"/>
    <n v="4"/>
    <s v="5S"/>
  </r>
  <r>
    <m/>
    <x v="11"/>
    <n v="1"/>
    <n v="71"/>
    <n v="3"/>
    <s v="6S"/>
  </r>
  <r>
    <s v="participante 29 (PAR)"/>
    <x v="0"/>
    <n v="4"/>
    <n v="126"/>
    <n v="4"/>
    <s v="1C"/>
  </r>
  <r>
    <m/>
    <x v="1"/>
    <n v="4"/>
    <n v="80"/>
    <n v="3"/>
    <s v="2C"/>
  </r>
  <r>
    <m/>
    <x v="2"/>
    <n v="1"/>
    <n v="57"/>
    <n v="3"/>
    <s v="3C"/>
  </r>
  <r>
    <m/>
    <x v="3"/>
    <n v="2"/>
    <n v="66"/>
    <n v="2"/>
    <s v="-"/>
  </r>
  <r>
    <m/>
    <x v="4"/>
    <n v="2"/>
    <n v="85"/>
    <n v="3"/>
    <s v="-"/>
  </r>
  <r>
    <m/>
    <x v="5"/>
    <n v="1"/>
    <n v="52"/>
    <n v="1"/>
    <s v="-"/>
  </r>
  <r>
    <s v="participante 30 (ÍMPAR)"/>
    <x v="6"/>
    <n v="1"/>
    <n v="41"/>
    <n v="2"/>
    <s v="-"/>
  </r>
  <r>
    <m/>
    <x v="7"/>
    <n v="1"/>
    <n v="65"/>
    <n v="3"/>
    <s v="-"/>
  </r>
  <r>
    <m/>
    <x v="8"/>
    <n v="1"/>
    <n v="69"/>
    <n v="3"/>
    <s v="-"/>
  </r>
  <r>
    <m/>
    <x v="9"/>
    <n v="1"/>
    <n v="71"/>
    <n v="2"/>
    <s v="4S"/>
  </r>
  <r>
    <m/>
    <x v="10"/>
    <n v="1"/>
    <n v="58"/>
    <n v="1"/>
    <s v="5S"/>
  </r>
  <r>
    <m/>
    <x v="11"/>
    <n v="1"/>
    <n v="28"/>
    <n v="1"/>
    <s v="6S"/>
  </r>
  <r>
    <s v="participante 31 (PAR)"/>
    <x v="0"/>
    <n v="1"/>
    <n v="128"/>
    <n v="2"/>
    <s v="1C"/>
  </r>
  <r>
    <m/>
    <x v="1"/>
    <n v="1"/>
    <n v="142"/>
    <n v="1"/>
    <s v="2C"/>
  </r>
  <r>
    <m/>
    <x v="2"/>
    <n v="1"/>
    <n v="37"/>
    <n v="2"/>
    <s v="3S"/>
  </r>
  <r>
    <m/>
    <x v="3"/>
    <n v="1"/>
    <n v="170"/>
    <n v="2"/>
    <s v="-"/>
  </r>
  <r>
    <m/>
    <x v="4"/>
    <n v="2"/>
    <n v="207"/>
    <n v="3"/>
    <s v="-"/>
  </r>
  <r>
    <m/>
    <x v="5"/>
    <n v="1"/>
    <n v="186"/>
    <n v="3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estatisticas" cacheId="5" applyNumberFormats="0" applyBorderFormats="0" applyFontFormats="0" applyPatternFormats="0" applyAlignmentFormats="0" applyWidthHeightFormats="0" dataCaption="" updatedVersion="7" rowGrandTotals="0" compact="0" compactData="0">
  <location ref="A6:D19" firstHeaderRow="1" firstDataRow="2" firstDataCol="1"/>
  <pivotFields count="6">
    <pivotField name="participantes" compact="0" outline="0" multipleItemSelectionAllowed="1" showAll="0"/>
    <pivotField name="tarefas" axis="axisRow" compact="0" outline="0" multipleItemSelectionAllowed="1" showAll="0" sortType="ascending">
      <items count="13">
        <item x="6"/>
        <item x="0"/>
        <item x="7"/>
        <item x="1"/>
        <item x="8"/>
        <item x="2"/>
        <item x="3"/>
        <item x="9"/>
        <item x="4"/>
        <item x="10"/>
        <item x="5"/>
        <item x="11"/>
        <item t="default"/>
      </items>
    </pivotField>
    <pivotField name="tentativas" dataField="1" compact="0" outline="0" multipleItemSelectionAllowed="1" showAll="0"/>
    <pivotField name="tempo" dataField="1" compact="0" outline="0" multipleItemSelectionAllowed="1" showAll="0"/>
    <pivotField name="avaliar dificuldade 1-5" dataField="1" compact="0" outline="0" multipleItemSelectionAllowed="1" showAll="0"/>
    <pivotField name="comparações de código" compact="0" outline="0" multipleItemSelectionAllowe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empo" fld="3" subtotal="average" baseField="0"/>
    <dataField name="AVERAGE of tentativas" fld="2" subtotal="average" baseField="0"/>
    <dataField name="AVERAGE of avaliar dificuldade 1-5" fld="4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_3" displayName="Table_3" ref="K5:N7">
  <tableColumns count="4">
    <tableColumn id="1" xr3:uid="{00000000-0010-0000-0000-000001000000}" name="Categoria"/>
    <tableColumn id="2" xr3:uid="{00000000-0010-0000-0000-000002000000}" name="Tempo médio"/>
    <tableColumn id="3" xr3:uid="{00000000-0010-0000-0000-000003000000}" name="Tentivas médias"/>
    <tableColumn id="4" xr3:uid="{00000000-0010-0000-0000-000004000000}" name="Dificuldade média"/>
  </tableColumns>
  <tableStyleInfo name="estatistic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_4" displayName="Table_4" ref="K23:N25">
  <tableColumns count="4">
    <tableColumn id="1" xr3:uid="{00000000-0010-0000-0100-000001000000}" name="Categoria"/>
    <tableColumn id="2" xr3:uid="{00000000-0010-0000-0100-000002000000}" name="Tempo médio"/>
    <tableColumn id="3" xr3:uid="{00000000-0010-0000-0100-000003000000}" name="Tentivas médias"/>
    <tableColumn id="4" xr3:uid="{00000000-0010-0000-0100-000004000000}" name="Dificuldade média"/>
  </tableColumns>
  <tableStyleInfo name="estatistic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_7" displayName="Table_7" ref="K41:N43">
  <tableColumns count="4">
    <tableColumn id="1" xr3:uid="{00000000-0010-0000-0200-000001000000}" name="Categoria"/>
    <tableColumn id="2" xr3:uid="{00000000-0010-0000-0200-000002000000}" name="Tempo médio"/>
    <tableColumn id="3" xr3:uid="{00000000-0010-0000-0200-000003000000}" name="Tentivas médias"/>
    <tableColumn id="4" xr3:uid="{00000000-0010-0000-0200-000004000000}" name="Dificuldade média"/>
  </tableColumns>
  <tableStyleInfo name="estatistic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Table_8" displayName="Table_8" ref="A90:D103" headerRowCount="0">
  <tableColumns count="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</tableColumns>
  <tableStyleInfo name="estatisticas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Table_9" displayName="Table_9" ref="F91:I103" headerRowCount="0">
  <tableColumns count="4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</tableColumns>
  <tableStyleInfo name="estatistic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Table_10" displayName="Table_10" ref="A106:D112" headerRowCount="0">
  <tableColumns count="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</tableColumns>
  <tableStyleInfo name="estatistic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6000000}" name="Table_11" displayName="Table_11" ref="A126:D138" headerRowCount="0">
  <tableColumns count="4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</tableColumns>
  <tableStyleInfo name="estatistic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Table_1" displayName="Table_1" ref="J1:O1" headerRowCount="0">
  <tableColumns count="6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</tableColumns>
  <tableStyleInfo name="base dado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8000000}" name="base_de_dados" displayName="base_de_dados" ref="A2:F194">
  <tableColumns count="6">
    <tableColumn id="1" xr3:uid="{00000000-0010-0000-0800-000001000000}" name="participantes"/>
    <tableColumn id="2" xr3:uid="{00000000-0010-0000-0800-000002000000}" name="tarefas"/>
    <tableColumn id="3" xr3:uid="{00000000-0010-0000-0800-000003000000}" name="tentativas"/>
    <tableColumn id="4" xr3:uid="{00000000-0010-0000-0800-000004000000}" name="tempo"/>
    <tableColumn id="5" xr3:uid="{00000000-0010-0000-0800-000005000000}" name="avaliar dificuldade 1-5"/>
    <tableColumn id="6" xr3:uid="{00000000-0010-0000-0800-000006000000}" name="comparações de código"/>
  </tableColumns>
  <tableStyleInfo name="base dados-style 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9000000}" name="Table_2" displayName="Table_2" ref="K1:P13">
  <tableColumns count="6">
    <tableColumn id="1" xr3:uid="{00000000-0010-0000-0900-000001000000}" name="tarefas"/>
    <tableColumn id="2" xr3:uid="{00000000-0010-0000-0900-000002000000}" name="média de tempo"/>
    <tableColumn id="3" xr3:uid="{00000000-0010-0000-0900-000003000000}" name="média de acertos"/>
    <tableColumn id="4" xr3:uid="{00000000-0010-0000-0900-000004000000}" name="dificuldade"/>
    <tableColumn id="5" xr3:uid="{00000000-0010-0000-0900-000005000000}" name="melhor versão"/>
    <tableColumn id="6" xr3:uid="{00000000-0010-0000-0900-000006000000}" name="porcentagem de preferência"/>
  </tableColumns>
  <tableStyleInfo name="dados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A000000}" name="Table_5" displayName="Table_5" ref="J16:M21" headerRowCount="0">
  <tableColumns count="4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</tableColumns>
  <tableStyleInfo name="dados-style 2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B000000}" name="Table_6" displayName="Table_6" ref="A29:I224" headerRowCount="0">
  <tableColumns count="9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</tableColumns>
  <tableStyleInfo name="dados-style 3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2" displayName="Table_12" ref="A1:A7" headerRowCount="0">
  <tableColumns count="1">
    <tableColumn id="1" xr3:uid="{00000000-0010-0000-0C00-000001000000}" name="Column1"/>
  </tableColumns>
  <tableStyleInfo name="pergunt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9:G175"/>
  <sheetViews>
    <sheetView workbookViewId="0"/>
  </sheetViews>
  <sheetFormatPr defaultColWidth="12.6640625" defaultRowHeight="15.75" customHeight="1" x14ac:dyDescent="0.25"/>
  <sheetData>
    <row r="9" spans="7:7" x14ac:dyDescent="0.25">
      <c r="G9" s="49"/>
    </row>
    <row r="63" spans="2:2" x14ac:dyDescent="0.25">
      <c r="B63" s="35" t="s">
        <v>145</v>
      </c>
    </row>
    <row r="85" spans="2:2" x14ac:dyDescent="0.25">
      <c r="B85" s="35" t="s">
        <v>146</v>
      </c>
    </row>
    <row r="106" spans="2:2" x14ac:dyDescent="0.25">
      <c r="B106" s="35" t="s">
        <v>148</v>
      </c>
    </row>
    <row r="131" spans="2:2" x14ac:dyDescent="0.25">
      <c r="B131" s="35" t="s">
        <v>149</v>
      </c>
    </row>
    <row r="152" spans="2:2" x14ac:dyDescent="0.25">
      <c r="B152" s="35" t="s">
        <v>150</v>
      </c>
    </row>
    <row r="175" spans="2:2" x14ac:dyDescent="0.25">
      <c r="B175" s="35" t="s">
        <v>152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N138"/>
  <sheetViews>
    <sheetView showGridLines="0" tabSelected="1" workbookViewId="0"/>
  </sheetViews>
  <sheetFormatPr defaultColWidth="12.6640625" defaultRowHeight="15.75" customHeight="1" x14ac:dyDescent="0.25"/>
  <cols>
    <col min="1" max="1" width="29.33203125" customWidth="1"/>
    <col min="2" max="2" width="23.88671875" customWidth="1"/>
    <col min="3" max="3" width="27.88671875" customWidth="1"/>
    <col min="4" max="4" width="29" customWidth="1"/>
    <col min="5" max="5" width="17.33203125" customWidth="1"/>
    <col min="6" max="6" width="36.6640625" customWidth="1"/>
    <col min="7" max="7" width="17.21875" customWidth="1"/>
    <col min="8" max="8" width="24.21875" customWidth="1"/>
    <col min="9" max="9" width="27.88671875" customWidth="1"/>
    <col min="11" max="11" width="13.77734375" customWidth="1"/>
    <col min="12" max="12" width="11" customWidth="1"/>
    <col min="14" max="14" width="14.21875" customWidth="1"/>
  </cols>
  <sheetData>
    <row r="2" spans="1:14" x14ac:dyDescent="0.25">
      <c r="A2" s="3"/>
      <c r="B2" s="3"/>
      <c r="C2" s="3"/>
      <c r="D2" s="3"/>
      <c r="E2" s="3"/>
      <c r="F2" s="5" t="s">
        <v>14</v>
      </c>
      <c r="G2" s="6"/>
      <c r="H2" s="6"/>
    </row>
    <row r="3" spans="1:14" x14ac:dyDescent="0.25">
      <c r="A3" s="6"/>
      <c r="B3" s="9"/>
      <c r="C3" s="6"/>
      <c r="D3" s="9"/>
      <c r="E3" s="9"/>
      <c r="F3" s="11" t="s">
        <v>1</v>
      </c>
      <c r="G3" s="13" t="s">
        <v>21</v>
      </c>
      <c r="H3" s="16" t="s">
        <v>22</v>
      </c>
      <c r="I3" s="16" t="s">
        <v>23</v>
      </c>
    </row>
    <row r="4" spans="1:14" x14ac:dyDescent="0.25">
      <c r="A4" s="6"/>
      <c r="B4" s="9"/>
      <c r="C4" s="6"/>
      <c r="D4" s="9"/>
      <c r="E4" s="9"/>
      <c r="F4" s="20" t="s">
        <v>17</v>
      </c>
      <c r="G4" s="22">
        <v>87.6</v>
      </c>
      <c r="H4" s="22">
        <v>1.0666666666666667</v>
      </c>
      <c r="I4" s="22">
        <v>1.6</v>
      </c>
    </row>
    <row r="5" spans="1:14" x14ac:dyDescent="0.25">
      <c r="A5" s="66" t="s">
        <v>25</v>
      </c>
      <c r="B5" s="67"/>
      <c r="C5" s="6"/>
      <c r="D5" s="9"/>
      <c r="E5" s="9"/>
      <c r="F5" s="20" t="s">
        <v>16</v>
      </c>
      <c r="G5" s="22">
        <v>150.5</v>
      </c>
      <c r="H5" s="22">
        <v>1.625</v>
      </c>
      <c r="I5" s="22">
        <v>2.625</v>
      </c>
      <c r="K5" s="4" t="s">
        <v>28</v>
      </c>
      <c r="L5" s="4" t="s">
        <v>29</v>
      </c>
      <c r="M5" s="4" t="s">
        <v>30</v>
      </c>
      <c r="N5" s="4" t="s">
        <v>31</v>
      </c>
    </row>
    <row r="6" spans="1:14" x14ac:dyDescent="0.25">
      <c r="A6" s="70"/>
      <c r="B6" s="71" t="s">
        <v>289</v>
      </c>
      <c r="C6" s="72"/>
      <c r="D6" s="73"/>
      <c r="F6" s="20" t="s">
        <v>32</v>
      </c>
      <c r="G6" s="22">
        <v>61.666666666666664</v>
      </c>
      <c r="H6" s="22">
        <v>1.1333333333333333</v>
      </c>
      <c r="I6" s="22">
        <v>1.9333333333333333</v>
      </c>
      <c r="K6" s="4" t="s">
        <v>41</v>
      </c>
      <c r="L6" s="28">
        <f>MEDIAN($G$10:$G$11)</f>
        <v>74.633333333333326</v>
      </c>
      <c r="M6" s="28">
        <f>MEDIAN($H$10:$H$11)</f>
        <v>1.1000000000000001</v>
      </c>
      <c r="N6" s="28">
        <f>MEDIAN($I$10:$I$11)</f>
        <v>1.7666666666666666</v>
      </c>
    </row>
    <row r="7" spans="1:14" x14ac:dyDescent="0.25">
      <c r="A7" s="71" t="s">
        <v>1</v>
      </c>
      <c r="B7" s="70" t="s">
        <v>290</v>
      </c>
      <c r="C7" s="74" t="s">
        <v>291</v>
      </c>
      <c r="D7" s="75" t="s">
        <v>292</v>
      </c>
      <c r="F7" s="20" t="s">
        <v>27</v>
      </c>
      <c r="G7" s="22">
        <v>37.75</v>
      </c>
      <c r="H7" s="22">
        <v>1.125</v>
      </c>
      <c r="I7" s="22">
        <v>1.3125</v>
      </c>
      <c r="K7" s="4" t="s">
        <v>43</v>
      </c>
      <c r="L7" s="28">
        <f>MEDIAN($G$15:$G$16)</f>
        <v>94.125</v>
      </c>
      <c r="M7" s="28">
        <f>MEDIAN($H$15:$H$16)</f>
        <v>1.375</v>
      </c>
      <c r="N7" s="28">
        <f>MEDIAN($I$15:$I$16)</f>
        <v>1.96875</v>
      </c>
    </row>
    <row r="8" spans="1:14" x14ac:dyDescent="0.25">
      <c r="A8" s="70" t="s">
        <v>17</v>
      </c>
      <c r="B8" s="76">
        <v>87.6</v>
      </c>
      <c r="C8" s="77">
        <v>1.0666666666666667</v>
      </c>
      <c r="D8" s="78">
        <v>1.6</v>
      </c>
      <c r="F8" s="9"/>
      <c r="G8" s="6"/>
      <c r="H8" s="6"/>
    </row>
    <row r="9" spans="1:14" x14ac:dyDescent="0.25">
      <c r="A9" s="79" t="s">
        <v>16</v>
      </c>
      <c r="B9" s="80">
        <v>150.5</v>
      </c>
      <c r="C9" s="81">
        <v>1.625</v>
      </c>
      <c r="D9" s="82">
        <v>2.625</v>
      </c>
      <c r="F9" s="5" t="s">
        <v>46</v>
      </c>
      <c r="G9" s="6"/>
      <c r="H9" s="6"/>
    </row>
    <row r="10" spans="1:14" x14ac:dyDescent="0.25">
      <c r="A10" s="79" t="s">
        <v>26</v>
      </c>
      <c r="B10" s="80">
        <v>87.2</v>
      </c>
      <c r="C10" s="81">
        <v>1.3333333333333333</v>
      </c>
      <c r="D10" s="82">
        <v>2.1333333333333333</v>
      </c>
      <c r="F10" s="20" t="s">
        <v>17</v>
      </c>
      <c r="G10" s="22">
        <v>87.6</v>
      </c>
      <c r="H10" s="22">
        <v>1.0666666666666667</v>
      </c>
      <c r="I10" s="22">
        <v>1.6</v>
      </c>
    </row>
    <row r="11" spans="1:14" x14ac:dyDescent="0.25">
      <c r="A11" s="79" t="s">
        <v>24</v>
      </c>
      <c r="B11" s="80">
        <v>88.5625</v>
      </c>
      <c r="C11" s="81">
        <v>1.4375</v>
      </c>
      <c r="D11" s="82">
        <v>1.875</v>
      </c>
      <c r="E11" s="9"/>
      <c r="F11" s="20" t="s">
        <v>32</v>
      </c>
      <c r="G11" s="22">
        <v>61.666666666666664</v>
      </c>
      <c r="H11" s="22">
        <v>1.1333333333333333</v>
      </c>
      <c r="I11" s="22">
        <v>1.9333333333333333</v>
      </c>
    </row>
    <row r="12" spans="1:14" x14ac:dyDescent="0.25">
      <c r="A12" s="79" t="s">
        <v>32</v>
      </c>
      <c r="B12" s="80">
        <v>61.666666666666664</v>
      </c>
      <c r="C12" s="81">
        <v>1.1333333333333333</v>
      </c>
      <c r="D12" s="82">
        <v>1.9333333333333333</v>
      </c>
      <c r="E12" s="9"/>
      <c r="F12" s="35" t="s">
        <v>48</v>
      </c>
      <c r="G12" s="29">
        <f>MEDIAN($G$10:$G$11)</f>
        <v>74.633333333333326</v>
      </c>
      <c r="H12" s="29">
        <f>MEDIAN($H$10:$H$11)</f>
        <v>1.1000000000000001</v>
      </c>
      <c r="I12" s="29">
        <f>MEDIAN($I$10:$I$11)</f>
        <v>1.7666666666666666</v>
      </c>
    </row>
    <row r="13" spans="1:14" x14ac:dyDescent="0.25">
      <c r="A13" s="79" t="s">
        <v>27</v>
      </c>
      <c r="B13" s="80">
        <v>37.75</v>
      </c>
      <c r="C13" s="81">
        <v>1.125</v>
      </c>
      <c r="D13" s="82">
        <v>1.3125</v>
      </c>
      <c r="E13" s="9"/>
    </row>
    <row r="14" spans="1:14" x14ac:dyDescent="0.25">
      <c r="A14" s="79" t="s">
        <v>34</v>
      </c>
      <c r="B14" s="80">
        <v>48.4375</v>
      </c>
      <c r="C14" s="81">
        <v>1.0625</v>
      </c>
      <c r="D14" s="82">
        <v>1.5</v>
      </c>
      <c r="E14" s="9"/>
      <c r="F14" s="5" t="s">
        <v>50</v>
      </c>
    </row>
    <row r="15" spans="1:14" x14ac:dyDescent="0.25">
      <c r="A15" s="79" t="s">
        <v>42</v>
      </c>
      <c r="B15" s="80">
        <v>52.8</v>
      </c>
      <c r="C15" s="81">
        <v>1</v>
      </c>
      <c r="D15" s="82">
        <v>1.7333333333333334</v>
      </c>
      <c r="F15" s="20" t="s">
        <v>16</v>
      </c>
      <c r="G15" s="22">
        <v>150.5</v>
      </c>
      <c r="H15" s="22">
        <v>1.625</v>
      </c>
      <c r="I15" s="22">
        <v>2.625</v>
      </c>
      <c r="K15" s="29"/>
      <c r="L15" s="29"/>
      <c r="M15" s="29"/>
    </row>
    <row r="16" spans="1:14" x14ac:dyDescent="0.25">
      <c r="A16" s="79" t="s">
        <v>36</v>
      </c>
      <c r="B16" s="80">
        <v>125.375</v>
      </c>
      <c r="C16" s="81">
        <v>1.5</v>
      </c>
      <c r="D16" s="82">
        <v>3.125</v>
      </c>
      <c r="F16" s="20" t="s">
        <v>27</v>
      </c>
      <c r="G16" s="22">
        <v>37.75</v>
      </c>
      <c r="H16" s="22">
        <v>1.125</v>
      </c>
      <c r="I16" s="22">
        <v>1.3125</v>
      </c>
    </row>
    <row r="17" spans="1:14" x14ac:dyDescent="0.25">
      <c r="A17" s="79" t="s">
        <v>44</v>
      </c>
      <c r="B17" s="80">
        <v>175.53333333333333</v>
      </c>
      <c r="C17" s="81">
        <v>2.2000000000000002</v>
      </c>
      <c r="D17" s="82">
        <v>3.1333333333333333</v>
      </c>
      <c r="F17" s="35" t="s">
        <v>52</v>
      </c>
      <c r="G17" s="29">
        <f>MEDIAN($G$15:$G$16)</f>
        <v>94.125</v>
      </c>
      <c r="H17" s="29">
        <f>MEDIAN($H$15:$H$16)</f>
        <v>1.375</v>
      </c>
      <c r="I17" s="29">
        <f>MEDIAN($I$15:$I$16)</f>
        <v>1.96875</v>
      </c>
    </row>
    <row r="18" spans="1:14" x14ac:dyDescent="0.25">
      <c r="A18" s="79" t="s">
        <v>39</v>
      </c>
      <c r="B18" s="80">
        <v>60.5625</v>
      </c>
      <c r="C18" s="81">
        <v>1.0625</v>
      </c>
      <c r="D18" s="82">
        <v>2.5625</v>
      </c>
    </row>
    <row r="19" spans="1:14" x14ac:dyDescent="0.25">
      <c r="A19" s="83" t="s">
        <v>45</v>
      </c>
      <c r="B19" s="84">
        <v>75.333333333333329</v>
      </c>
      <c r="C19" s="85">
        <v>1.2</v>
      </c>
      <c r="D19" s="86">
        <v>2.3333333333333335</v>
      </c>
      <c r="F19" s="35" t="s">
        <v>53</v>
      </c>
    </row>
    <row r="20" spans="1:14" x14ac:dyDescent="0.25">
      <c r="F20" s="11" t="s">
        <v>1</v>
      </c>
      <c r="G20" s="13" t="s">
        <v>21</v>
      </c>
      <c r="H20" s="16" t="s">
        <v>22</v>
      </c>
      <c r="I20" s="16" t="s">
        <v>23</v>
      </c>
    </row>
    <row r="21" spans="1:14" x14ac:dyDescent="0.25">
      <c r="F21" s="37" t="s">
        <v>26</v>
      </c>
      <c r="G21" s="22">
        <v>87.2</v>
      </c>
      <c r="H21" s="22">
        <v>1.3333333333333333</v>
      </c>
      <c r="I21" s="22">
        <v>2.1333333333333333</v>
      </c>
    </row>
    <row r="22" spans="1:14" x14ac:dyDescent="0.25">
      <c r="F22" s="37" t="s">
        <v>24</v>
      </c>
      <c r="G22" s="22">
        <v>88.5625</v>
      </c>
      <c r="H22" s="22">
        <v>1.4375</v>
      </c>
      <c r="I22" s="22">
        <v>1.875</v>
      </c>
    </row>
    <row r="23" spans="1:14" x14ac:dyDescent="0.25">
      <c r="F23" s="37" t="s">
        <v>36</v>
      </c>
      <c r="G23" s="22">
        <v>125.375</v>
      </c>
      <c r="H23" s="22">
        <v>1.5</v>
      </c>
      <c r="I23" s="22">
        <v>3.125</v>
      </c>
      <c r="K23" s="4" t="s">
        <v>28</v>
      </c>
      <c r="L23" s="4" t="s">
        <v>29</v>
      </c>
      <c r="M23" s="4" t="s">
        <v>30</v>
      </c>
      <c r="N23" s="4" t="s">
        <v>31</v>
      </c>
    </row>
    <row r="24" spans="1:14" x14ac:dyDescent="0.25">
      <c r="F24" s="37" t="s">
        <v>44</v>
      </c>
      <c r="G24" s="22">
        <v>175.53333333333333</v>
      </c>
      <c r="H24" s="22">
        <v>2.2000000000000002</v>
      </c>
      <c r="I24" s="22">
        <v>3.1333333333333333</v>
      </c>
      <c r="K24" s="4" t="s">
        <v>56</v>
      </c>
      <c r="L24" s="29">
        <f>MEDIAN($G$28:$G$29)</f>
        <v>106.28749999999999</v>
      </c>
      <c r="M24" s="29">
        <f>MEDIAN($H$28:$H$29)</f>
        <v>1.4166666666666665</v>
      </c>
      <c r="N24" s="29">
        <f>MEDIAN($I$28:$I$29)</f>
        <v>2.6291666666666664</v>
      </c>
    </row>
    <row r="25" spans="1:14" x14ac:dyDescent="0.25">
      <c r="K25" s="4" t="s">
        <v>59</v>
      </c>
      <c r="L25" s="29">
        <f>MEDIAN($G$33:$G$34)</f>
        <v>132.04791666666665</v>
      </c>
      <c r="M25" s="29">
        <f>MEDIAN($H$33:$H$34)</f>
        <v>1.8187500000000001</v>
      </c>
      <c r="N25" s="29">
        <f>MEDIAN($I$33:$I$34)</f>
        <v>2.5041666666666664</v>
      </c>
    </row>
    <row r="27" spans="1:14" x14ac:dyDescent="0.25">
      <c r="F27" s="35" t="s">
        <v>62</v>
      </c>
    </row>
    <row r="28" spans="1:14" x14ac:dyDescent="0.25">
      <c r="F28" s="37" t="s">
        <v>26</v>
      </c>
      <c r="G28" s="22">
        <v>87.2</v>
      </c>
      <c r="H28" s="22">
        <v>1.3333333333333333</v>
      </c>
      <c r="I28" s="22">
        <v>2.1333333333333333</v>
      </c>
    </row>
    <row r="29" spans="1:14" x14ac:dyDescent="0.25">
      <c r="F29" s="37" t="s">
        <v>36</v>
      </c>
      <c r="G29" s="22">
        <v>125.375</v>
      </c>
      <c r="H29" s="22">
        <v>1.5</v>
      </c>
      <c r="I29" s="22">
        <v>3.125</v>
      </c>
    </row>
    <row r="30" spans="1:14" x14ac:dyDescent="0.25">
      <c r="F30" s="35" t="s">
        <v>66</v>
      </c>
      <c r="G30" s="29">
        <f>MEDIAN($G$28:$G$29)</f>
        <v>106.28749999999999</v>
      </c>
      <c r="H30" s="29">
        <f>MEDIAN($H$28:$H$29)</f>
        <v>1.4166666666666665</v>
      </c>
      <c r="I30" s="29">
        <f>MEDIAN($I$28:$I$29)</f>
        <v>2.6291666666666664</v>
      </c>
    </row>
    <row r="32" spans="1:14" x14ac:dyDescent="0.25">
      <c r="F32" s="35" t="s">
        <v>68</v>
      </c>
    </row>
    <row r="33" spans="6:14" x14ac:dyDescent="0.25">
      <c r="F33" s="37" t="s">
        <v>24</v>
      </c>
      <c r="G33" s="22">
        <v>88.5625</v>
      </c>
      <c r="H33" s="22">
        <v>1.4375</v>
      </c>
      <c r="I33" s="22">
        <v>1.875</v>
      </c>
    </row>
    <row r="34" spans="6:14" x14ac:dyDescent="0.25">
      <c r="F34" s="37" t="s">
        <v>44</v>
      </c>
      <c r="G34" s="22">
        <v>175.53333333333333</v>
      </c>
      <c r="H34" s="22">
        <v>2.2000000000000002</v>
      </c>
      <c r="I34" s="22">
        <v>3.1333333333333333</v>
      </c>
    </row>
    <row r="35" spans="6:14" x14ac:dyDescent="0.25">
      <c r="F35" s="35" t="s">
        <v>70</v>
      </c>
      <c r="G35" s="29">
        <f>MEDIAN($G$33:$G$34)</f>
        <v>132.04791666666665</v>
      </c>
      <c r="H35" s="29">
        <f>MEDIAN($H$33:$H$34)</f>
        <v>1.8187500000000001</v>
      </c>
      <c r="I35" s="29">
        <f>MEDIAN($I$33:$I$34)</f>
        <v>2.5041666666666664</v>
      </c>
    </row>
    <row r="38" spans="6:14" x14ac:dyDescent="0.25">
      <c r="F38" s="35" t="s">
        <v>71</v>
      </c>
    </row>
    <row r="39" spans="6:14" x14ac:dyDescent="0.25">
      <c r="F39" s="11" t="s">
        <v>1</v>
      </c>
      <c r="G39" s="13" t="s">
        <v>21</v>
      </c>
      <c r="H39" s="16" t="s">
        <v>22</v>
      </c>
      <c r="I39" s="16" t="s">
        <v>23</v>
      </c>
    </row>
    <row r="40" spans="6:14" x14ac:dyDescent="0.25">
      <c r="F40" s="37" t="s">
        <v>34</v>
      </c>
      <c r="G40" s="22">
        <v>48.4375</v>
      </c>
      <c r="H40" s="22">
        <v>1.0625</v>
      </c>
      <c r="I40" s="22">
        <v>1.5</v>
      </c>
    </row>
    <row r="41" spans="6:14" x14ac:dyDescent="0.25">
      <c r="F41" s="37" t="s">
        <v>42</v>
      </c>
      <c r="G41" s="22">
        <v>52.8</v>
      </c>
      <c r="H41" s="22">
        <v>1</v>
      </c>
      <c r="I41" s="22">
        <v>1.7333333333333334</v>
      </c>
      <c r="K41" s="4" t="s">
        <v>28</v>
      </c>
      <c r="L41" s="4" t="s">
        <v>29</v>
      </c>
      <c r="M41" s="4" t="s">
        <v>30</v>
      </c>
      <c r="N41" s="4" t="s">
        <v>31</v>
      </c>
    </row>
    <row r="42" spans="6:14" x14ac:dyDescent="0.25">
      <c r="F42" s="37" t="s">
        <v>39</v>
      </c>
      <c r="G42" s="22">
        <v>60.5625</v>
      </c>
      <c r="H42" s="22">
        <v>1.0625</v>
      </c>
      <c r="I42" s="22">
        <v>2.5625</v>
      </c>
      <c r="K42" s="4" t="s">
        <v>74</v>
      </c>
      <c r="L42" s="29">
        <f>MEDIAN($G$47:$G$48)</f>
        <v>54.5</v>
      </c>
      <c r="M42" s="29">
        <f>MEDIAN($H$47:$H$48)</f>
        <v>1.0625</v>
      </c>
      <c r="N42" s="29">
        <f>MEDIAN($I$47:$I$48)</f>
        <v>2.03125</v>
      </c>
    </row>
    <row r="43" spans="6:14" x14ac:dyDescent="0.25">
      <c r="F43" s="37" t="s">
        <v>45</v>
      </c>
      <c r="G43" s="22">
        <v>75.333333333333329</v>
      </c>
      <c r="H43" s="22">
        <v>1.2</v>
      </c>
      <c r="I43" s="22">
        <v>2.3333333333333335</v>
      </c>
      <c r="K43" s="4" t="s">
        <v>75</v>
      </c>
      <c r="L43" s="29">
        <f>MEDIAN($G$52:$G$53)</f>
        <v>64.066666666666663</v>
      </c>
      <c r="M43" s="29">
        <f>MEDIAN($H$52:$H$53)</f>
        <v>1.1000000000000001</v>
      </c>
      <c r="N43" s="29">
        <f>MEDIAN($I$52:$I$53)</f>
        <v>2.0333333333333332</v>
      </c>
    </row>
    <row r="46" spans="6:14" x14ac:dyDescent="0.25">
      <c r="F46" s="35" t="s">
        <v>77</v>
      </c>
    </row>
    <row r="47" spans="6:14" x14ac:dyDescent="0.25">
      <c r="F47" s="37" t="s">
        <v>34</v>
      </c>
      <c r="G47" s="22">
        <v>48.4375</v>
      </c>
      <c r="H47" s="22">
        <v>1.0625</v>
      </c>
      <c r="I47" s="22">
        <v>1.5</v>
      </c>
    </row>
    <row r="48" spans="6:14" x14ac:dyDescent="0.25">
      <c r="F48" s="37" t="s">
        <v>39</v>
      </c>
      <c r="G48" s="22">
        <v>60.5625</v>
      </c>
      <c r="H48" s="22">
        <v>1.0625</v>
      </c>
      <c r="I48" s="22">
        <v>2.5625</v>
      </c>
    </row>
    <row r="49" spans="6:9" x14ac:dyDescent="0.25">
      <c r="F49" s="35" t="s">
        <v>79</v>
      </c>
      <c r="G49" s="29">
        <f>MEDIAN($G$47:$G$48)</f>
        <v>54.5</v>
      </c>
      <c r="H49" s="29">
        <f>MEDIAN($H$47:$H$48)</f>
        <v>1.0625</v>
      </c>
      <c r="I49" s="29">
        <f>MEDIAN($I$47:$I$48)</f>
        <v>2.03125</v>
      </c>
    </row>
    <row r="51" spans="6:9" x14ac:dyDescent="0.25">
      <c r="F51" s="35" t="s">
        <v>80</v>
      </c>
    </row>
    <row r="52" spans="6:9" x14ac:dyDescent="0.25">
      <c r="F52" s="37" t="s">
        <v>42</v>
      </c>
      <c r="G52" s="22">
        <v>52.8</v>
      </c>
      <c r="H52" s="22">
        <v>1</v>
      </c>
      <c r="I52" s="22">
        <v>1.7333333333333334</v>
      </c>
    </row>
    <row r="53" spans="6:9" x14ac:dyDescent="0.25">
      <c r="F53" s="37" t="s">
        <v>45</v>
      </c>
      <c r="G53" s="22">
        <v>75.333333333333329</v>
      </c>
      <c r="H53" s="22">
        <v>1.2</v>
      </c>
      <c r="I53" s="22">
        <v>2.3333333333333335</v>
      </c>
    </row>
    <row r="54" spans="6:9" x14ac:dyDescent="0.25">
      <c r="F54" s="35" t="s">
        <v>82</v>
      </c>
      <c r="G54" s="29">
        <f>MEDIAN($G$52:$G$53)</f>
        <v>64.066666666666663</v>
      </c>
      <c r="H54" s="29">
        <f>MEDIAN($H$52:$H$53)</f>
        <v>1.1000000000000001</v>
      </c>
      <c r="I54" s="29">
        <f>MEDIAN($I$52:$I$53)</f>
        <v>2.0333333333333332</v>
      </c>
    </row>
    <row r="69" spans="1:4" x14ac:dyDescent="0.25">
      <c r="A69" s="66" t="s">
        <v>84</v>
      </c>
      <c r="B69" s="67"/>
    </row>
    <row r="70" spans="1:4" x14ac:dyDescent="0.25">
      <c r="A70" s="27" t="s">
        <v>1</v>
      </c>
      <c r="B70" s="27" t="s">
        <v>88</v>
      </c>
      <c r="C70" s="27" t="s">
        <v>89</v>
      </c>
      <c r="D70" s="27" t="s">
        <v>90</v>
      </c>
    </row>
    <row r="71" spans="1:4" x14ac:dyDescent="0.25">
      <c r="A71" s="27" t="s">
        <v>17</v>
      </c>
      <c r="B71" s="27">
        <v>39</v>
      </c>
      <c r="C71" s="27">
        <v>169</v>
      </c>
      <c r="D71" s="27">
        <v>82</v>
      </c>
    </row>
    <row r="72" spans="1:4" x14ac:dyDescent="0.25">
      <c r="A72" s="27" t="s">
        <v>16</v>
      </c>
      <c r="B72" s="27">
        <v>44</v>
      </c>
      <c r="C72" s="27">
        <v>313</v>
      </c>
      <c r="D72" s="27">
        <v>132.5</v>
      </c>
    </row>
    <row r="73" spans="1:4" x14ac:dyDescent="0.25">
      <c r="A73" s="27" t="s">
        <v>26</v>
      </c>
      <c r="B73" s="27">
        <v>22</v>
      </c>
      <c r="C73" s="27">
        <v>248</v>
      </c>
      <c r="D73" s="27">
        <v>70</v>
      </c>
    </row>
    <row r="74" spans="1:4" x14ac:dyDescent="0.25">
      <c r="A74" s="27" t="s">
        <v>24</v>
      </c>
      <c r="B74" s="27">
        <v>19</v>
      </c>
      <c r="C74" s="27">
        <v>180</v>
      </c>
      <c r="D74" s="27">
        <v>84.5</v>
      </c>
    </row>
    <row r="75" spans="1:4" x14ac:dyDescent="0.25">
      <c r="A75" s="27" t="s">
        <v>32</v>
      </c>
      <c r="B75" s="27">
        <v>12</v>
      </c>
      <c r="C75" s="27">
        <v>184</v>
      </c>
      <c r="D75" s="27">
        <v>50</v>
      </c>
    </row>
    <row r="76" spans="1:4" x14ac:dyDescent="0.25">
      <c r="A76" s="27" t="s">
        <v>27</v>
      </c>
      <c r="B76" s="27">
        <v>16</v>
      </c>
      <c r="C76" s="27">
        <v>88</v>
      </c>
      <c r="D76" s="27">
        <v>36</v>
      </c>
    </row>
    <row r="77" spans="1:4" x14ac:dyDescent="0.25">
      <c r="A77" s="27" t="s">
        <v>34</v>
      </c>
      <c r="B77" s="27">
        <v>10</v>
      </c>
      <c r="C77" s="27">
        <v>170</v>
      </c>
      <c r="D77" s="27">
        <v>33.5</v>
      </c>
    </row>
    <row r="78" spans="1:4" x14ac:dyDescent="0.25">
      <c r="A78" s="27" t="s">
        <v>42</v>
      </c>
      <c r="B78" s="27">
        <v>12</v>
      </c>
      <c r="C78" s="27">
        <v>103</v>
      </c>
      <c r="D78" s="27">
        <v>55</v>
      </c>
    </row>
    <row r="79" spans="1:4" x14ac:dyDescent="0.25">
      <c r="A79" s="27" t="s">
        <v>36</v>
      </c>
      <c r="B79" s="27">
        <v>50</v>
      </c>
      <c r="C79" s="27">
        <v>258</v>
      </c>
      <c r="D79" s="27">
        <v>100.5</v>
      </c>
    </row>
    <row r="80" spans="1:4" x14ac:dyDescent="0.25">
      <c r="A80" s="27" t="s">
        <v>44</v>
      </c>
      <c r="B80" s="27">
        <v>41</v>
      </c>
      <c r="C80" s="27">
        <v>348</v>
      </c>
      <c r="D80" s="27">
        <v>168</v>
      </c>
    </row>
    <row r="81" spans="1:9" x14ac:dyDescent="0.25">
      <c r="A81" s="27" t="s">
        <v>39</v>
      </c>
      <c r="B81" s="27">
        <v>13</v>
      </c>
      <c r="C81" s="27">
        <v>186</v>
      </c>
      <c r="D81" s="27">
        <v>47</v>
      </c>
    </row>
    <row r="82" spans="1:9" x14ac:dyDescent="0.25">
      <c r="A82" s="27" t="s">
        <v>45</v>
      </c>
      <c r="B82" s="27">
        <v>9</v>
      </c>
      <c r="C82" s="27">
        <v>216</v>
      </c>
      <c r="D82" s="27">
        <v>61</v>
      </c>
    </row>
    <row r="83" spans="1:9" x14ac:dyDescent="0.25">
      <c r="A83" s="27" t="s">
        <v>97</v>
      </c>
      <c r="B83" s="27">
        <v>9</v>
      </c>
      <c r="C83" s="27">
        <v>348</v>
      </c>
      <c r="D83" s="27">
        <v>67</v>
      </c>
    </row>
    <row r="90" spans="1:9" x14ac:dyDescent="0.25">
      <c r="A90" s="4" t="s">
        <v>99</v>
      </c>
      <c r="B90" s="45"/>
      <c r="C90" s="44"/>
      <c r="D90" s="44"/>
    </row>
    <row r="91" spans="1:9" x14ac:dyDescent="0.25">
      <c r="A91" s="14" t="s">
        <v>101</v>
      </c>
      <c r="B91" s="45" t="s">
        <v>102</v>
      </c>
      <c r="C91" s="14" t="s">
        <v>103</v>
      </c>
      <c r="D91" s="14" t="s">
        <v>104</v>
      </c>
      <c r="F91" s="14" t="s">
        <v>101</v>
      </c>
      <c r="G91" s="45" t="s">
        <v>102</v>
      </c>
      <c r="H91" s="14" t="s">
        <v>103</v>
      </c>
      <c r="I91" s="14" t="s">
        <v>104</v>
      </c>
    </row>
    <row r="92" spans="1:9" x14ac:dyDescent="0.25">
      <c r="A92" s="44" t="s">
        <v>17</v>
      </c>
      <c r="B92" s="45">
        <f>COUNTIF(base_de_dados[comparações de código],A92)</f>
        <v>10</v>
      </c>
      <c r="C92" s="46">
        <f>B92/(B92+B93)</f>
        <v>0.625</v>
      </c>
      <c r="D92" s="47" t="str">
        <f>IF(B92&gt;B93,A92,A93)</f>
        <v>1C</v>
      </c>
      <c r="F92" s="4" t="s">
        <v>114</v>
      </c>
      <c r="G92" s="45">
        <f>(MEDIAN(B92,B96))</f>
        <v>8</v>
      </c>
      <c r="H92" s="46"/>
      <c r="I92" s="47"/>
    </row>
    <row r="93" spans="1:9" x14ac:dyDescent="0.25">
      <c r="A93" s="44" t="s">
        <v>16</v>
      </c>
      <c r="B93" s="45">
        <f>COUNTIF(base_de_dados[comparações de código],A93)</f>
        <v>6</v>
      </c>
      <c r="C93" s="46">
        <f>B93/(B93+B92)</f>
        <v>0.375</v>
      </c>
      <c r="D93" s="47" t="str">
        <f>IF(B93&gt;B92,A93,A92)</f>
        <v>1C</v>
      </c>
      <c r="F93" s="4" t="s">
        <v>118</v>
      </c>
      <c r="G93" s="45"/>
      <c r="H93" s="46"/>
      <c r="I93" s="47"/>
    </row>
    <row r="94" spans="1:9" x14ac:dyDescent="0.25">
      <c r="A94" s="44" t="s">
        <v>26</v>
      </c>
      <c r="B94" s="45">
        <f>COUNTIF(base_de_dados[comparações de código],A94)</f>
        <v>9</v>
      </c>
      <c r="C94" s="46">
        <f>B94/(B94+B95)</f>
        <v>0.5625</v>
      </c>
      <c r="D94" s="47" t="str">
        <f>IF(B94&gt;B95,A94,A95)</f>
        <v>2C</v>
      </c>
      <c r="F94" s="4" t="s">
        <v>120</v>
      </c>
      <c r="G94" s="45"/>
      <c r="H94" s="46"/>
      <c r="I94" s="47"/>
    </row>
    <row r="95" spans="1:9" x14ac:dyDescent="0.25">
      <c r="A95" s="44" t="s">
        <v>24</v>
      </c>
      <c r="B95" s="45">
        <f>COUNTIF(base_de_dados[comparações de código],A95)</f>
        <v>7</v>
      </c>
      <c r="C95" s="46">
        <f>B95/(B95+B94)</f>
        <v>0.4375</v>
      </c>
      <c r="D95" s="47" t="str">
        <f>IF(B95&gt;B94,A95,A94)</f>
        <v>2C</v>
      </c>
      <c r="F95" s="4" t="s">
        <v>126</v>
      </c>
      <c r="G95" s="45"/>
      <c r="H95" s="46"/>
      <c r="I95" s="47"/>
    </row>
    <row r="96" spans="1:9" x14ac:dyDescent="0.25">
      <c r="A96" s="44" t="s">
        <v>32</v>
      </c>
      <c r="B96" s="45">
        <f>COUNTIF(base_de_dados[comparações de código],A96)</f>
        <v>6</v>
      </c>
      <c r="C96" s="46">
        <f>B96/(B96+B97)</f>
        <v>0.375</v>
      </c>
      <c r="D96" s="47" t="str">
        <f>IF(B96&gt;B97,A96,A97)</f>
        <v>3S</v>
      </c>
      <c r="F96" s="4" t="s">
        <v>128</v>
      </c>
      <c r="G96" s="45"/>
      <c r="H96" s="46"/>
      <c r="I96" s="47"/>
    </row>
    <row r="97" spans="1:9" x14ac:dyDescent="0.25">
      <c r="A97" s="44" t="s">
        <v>27</v>
      </c>
      <c r="B97" s="45">
        <f>COUNTIF(base_de_dados[comparações de código],A97)</f>
        <v>10</v>
      </c>
      <c r="C97" s="46">
        <f>B97/(B97+B96)</f>
        <v>0.625</v>
      </c>
      <c r="D97" s="47" t="str">
        <f>IF(B97&gt;B96,A97,A96)</f>
        <v>3S</v>
      </c>
      <c r="F97" s="4" t="s">
        <v>130</v>
      </c>
      <c r="G97" s="45"/>
      <c r="H97" s="46"/>
      <c r="I97" s="47"/>
    </row>
    <row r="98" spans="1:9" x14ac:dyDescent="0.25">
      <c r="A98" s="44" t="s">
        <v>34</v>
      </c>
      <c r="B98" s="45">
        <f>COUNTIF(base_de_dados[comparações de código],A98)</f>
        <v>14</v>
      </c>
      <c r="C98" s="46">
        <f>B98/(B98+B99)</f>
        <v>0.875</v>
      </c>
      <c r="D98" s="47" t="str">
        <f>IF(B98&gt;B99,A98,A99)</f>
        <v>4C</v>
      </c>
      <c r="F98" s="44"/>
      <c r="G98" s="45"/>
      <c r="H98" s="46"/>
      <c r="I98" s="47"/>
    </row>
    <row r="99" spans="1:9" x14ac:dyDescent="0.25">
      <c r="A99" s="44" t="s">
        <v>42</v>
      </c>
      <c r="B99" s="45">
        <f>COUNTIF(base_de_dados[comparações de código],A99)</f>
        <v>2</v>
      </c>
      <c r="C99" s="46">
        <f>B99/(B99+B98)</f>
        <v>0.125</v>
      </c>
      <c r="D99" s="47" t="str">
        <f>IF(B99&gt;B98,A99,A98)</f>
        <v>4C</v>
      </c>
      <c r="F99" s="44"/>
      <c r="G99" s="45"/>
      <c r="H99" s="46"/>
      <c r="I99" s="47"/>
    </row>
    <row r="100" spans="1:9" x14ac:dyDescent="0.25">
      <c r="A100" s="44" t="s">
        <v>36</v>
      </c>
      <c r="B100" s="45">
        <f>COUNTIF(base_de_dados[comparações de código],A100)</f>
        <v>10</v>
      </c>
      <c r="C100" s="46">
        <f>B100/(B100+B101)</f>
        <v>0.625</v>
      </c>
      <c r="D100" s="47" t="str">
        <f>IF(B100&gt;B101,A100,A101)</f>
        <v>5C</v>
      </c>
      <c r="F100" s="44"/>
      <c r="G100" s="45"/>
      <c r="H100" s="46"/>
      <c r="I100" s="47"/>
    </row>
    <row r="101" spans="1:9" x14ac:dyDescent="0.25">
      <c r="A101" s="44" t="s">
        <v>44</v>
      </c>
      <c r="B101" s="45">
        <f>COUNTIF(base_de_dados[comparações de código],A101)</f>
        <v>6</v>
      </c>
      <c r="C101" s="46">
        <f>B101/(B101+B100)</f>
        <v>0.375</v>
      </c>
      <c r="D101" s="47" t="str">
        <f>IF(B101&gt;B100,A101,A100)</f>
        <v>5C</v>
      </c>
      <c r="F101" s="44"/>
      <c r="G101" s="45"/>
      <c r="H101" s="46"/>
      <c r="I101" s="47"/>
    </row>
    <row r="102" spans="1:9" x14ac:dyDescent="0.25">
      <c r="A102" s="44" t="s">
        <v>39</v>
      </c>
      <c r="B102" s="45">
        <f>COUNTIF(base_de_dados[comparações de código],A102)</f>
        <v>12</v>
      </c>
      <c r="C102" s="46">
        <f>B102/(B102+B103)</f>
        <v>0.75</v>
      </c>
      <c r="D102" s="47" t="str">
        <f>IF(B102&gt;B103,A102,A103)</f>
        <v>6C</v>
      </c>
      <c r="F102" s="44"/>
      <c r="G102" s="45"/>
      <c r="H102" s="46"/>
      <c r="I102" s="47"/>
    </row>
    <row r="103" spans="1:9" x14ac:dyDescent="0.25">
      <c r="A103" s="44" t="s">
        <v>45</v>
      </c>
      <c r="B103" s="45">
        <f>COUNTIF(base_de_dados[comparações de código],A103)</f>
        <v>4</v>
      </c>
      <c r="C103" s="46">
        <f>B103/(B103+B102)</f>
        <v>0.25</v>
      </c>
      <c r="D103" s="47" t="str">
        <f>IF(B103&gt;B102,A103,A102)</f>
        <v>6C</v>
      </c>
      <c r="F103" s="44"/>
      <c r="G103" s="45"/>
      <c r="H103" s="46"/>
      <c r="I103" s="47"/>
    </row>
    <row r="106" spans="1:9" x14ac:dyDescent="0.25">
      <c r="A106" s="14" t="s">
        <v>101</v>
      </c>
      <c r="B106" s="45" t="s">
        <v>102</v>
      </c>
      <c r="C106" s="14" t="s">
        <v>103</v>
      </c>
      <c r="D106" s="14"/>
    </row>
    <row r="107" spans="1:9" x14ac:dyDescent="0.25">
      <c r="A107" s="4" t="s">
        <v>114</v>
      </c>
      <c r="B107" s="45">
        <f t="shared" ref="B107:C107" si="0">(MEDIAN(B92,B96))</f>
        <v>8</v>
      </c>
      <c r="C107" s="50">
        <f t="shared" si="0"/>
        <v>0.5</v>
      </c>
      <c r="D107" s="47"/>
    </row>
    <row r="108" spans="1:9" x14ac:dyDescent="0.25">
      <c r="A108" s="4" t="s">
        <v>118</v>
      </c>
      <c r="B108" s="45">
        <f t="shared" ref="B108:C108" si="1">(MEDIAN(B93,B97))</f>
        <v>8</v>
      </c>
      <c r="C108" s="50">
        <f t="shared" si="1"/>
        <v>0.5</v>
      </c>
      <c r="D108" s="47"/>
    </row>
    <row r="109" spans="1:9" x14ac:dyDescent="0.25">
      <c r="A109" s="4" t="s">
        <v>120</v>
      </c>
      <c r="B109" s="45">
        <f t="shared" ref="B109:C109" si="2">(MEDIAN(B94,B100))</f>
        <v>9.5</v>
      </c>
      <c r="C109" s="51">
        <f t="shared" si="2"/>
        <v>0.59375</v>
      </c>
      <c r="D109" s="47"/>
    </row>
    <row r="110" spans="1:9" x14ac:dyDescent="0.25">
      <c r="A110" s="4" t="s">
        <v>126</v>
      </c>
      <c r="B110" s="45">
        <f t="shared" ref="B110:C110" si="3">(MEDIAN(B95,B101))</f>
        <v>6.5</v>
      </c>
      <c r="C110" s="51">
        <f t="shared" si="3"/>
        <v>0.40625</v>
      </c>
      <c r="D110" s="47"/>
    </row>
    <row r="111" spans="1:9" x14ac:dyDescent="0.25">
      <c r="A111" s="4" t="s">
        <v>128</v>
      </c>
      <c r="B111" s="45">
        <f t="shared" ref="B111:C111" si="4">(MEDIAN(B98,B102))</f>
        <v>13</v>
      </c>
      <c r="C111" s="51">
        <f t="shared" si="4"/>
        <v>0.8125</v>
      </c>
      <c r="D111" s="47"/>
    </row>
    <row r="112" spans="1:9" x14ac:dyDescent="0.25">
      <c r="A112" s="4" t="s">
        <v>130</v>
      </c>
      <c r="B112" s="45">
        <f t="shared" ref="B112:C112" si="5">(MEDIAN(B99,B103))</f>
        <v>3</v>
      </c>
      <c r="C112" s="51">
        <f t="shared" si="5"/>
        <v>0.1875</v>
      </c>
      <c r="D112" s="47"/>
    </row>
    <row r="125" spans="1:4" x14ac:dyDescent="0.25">
      <c r="A125" s="55" t="s">
        <v>169</v>
      </c>
      <c r="B125" s="56"/>
      <c r="C125" s="56"/>
      <c r="D125" s="56"/>
    </row>
    <row r="126" spans="1:4" x14ac:dyDescent="0.25">
      <c r="A126" s="14" t="s">
        <v>101</v>
      </c>
      <c r="B126" s="14" t="s">
        <v>170</v>
      </c>
      <c r="C126" s="14" t="s">
        <v>171</v>
      </c>
      <c r="D126" s="14" t="s">
        <v>172</v>
      </c>
    </row>
    <row r="127" spans="1:4" x14ac:dyDescent="0.25">
      <c r="A127" s="44" t="s">
        <v>17</v>
      </c>
      <c r="B127" s="28">
        <f ca="1">IFERROR(__xludf.DUMMYFUNCTION("STDEV(FILTER(base_de_dados[tempo],base_de_dados[tarefas]=A127))"),39.5272058208014)</f>
        <v>39.527205820801399</v>
      </c>
      <c r="C127" s="28">
        <f ca="1">IFERROR(__xludf.DUMMYFUNCTION("STDEV(FILTER(base_de_dados[tentativas],base_de_dados[tarefas]=A127))"),0.258198889747161)</f>
        <v>0.25819888974716099</v>
      </c>
      <c r="D127" s="28">
        <f ca="1">IFERROR(__xludf.DUMMYFUNCTION("STDEV(FILTER(base_de_dados[avaliar dificuldade 1-5],base_de_dados[tarefas]=A127))"),0.910258989832799)</f>
        <v>0.91025898983279896</v>
      </c>
    </row>
    <row r="128" spans="1:4" x14ac:dyDescent="0.25">
      <c r="A128" s="44" t="s">
        <v>16</v>
      </c>
      <c r="B128" s="28">
        <f ca="1">IFERROR(__xludf.DUMMYFUNCTION("STDEV(FILTER(base_de_dados[tempo],base_de_dados[tarefas]=A128))"),70.222503515611)</f>
        <v>70.222503515610995</v>
      </c>
      <c r="C128" s="28">
        <f ca="1">IFERROR(__xludf.DUMMYFUNCTION("STDEV(FILTER(base_de_dados[tentativas],base_de_dados[tarefas]=A128))"),1.02469507659596)</f>
        <v>1.0246950765959599</v>
      </c>
      <c r="D128" s="28">
        <f ca="1">IFERROR(__xludf.DUMMYFUNCTION("STDEV(FILTER(base_de_dados[avaliar dificuldade 1-5],base_de_dados[tarefas]=A128))"),1.1474609652039)</f>
        <v>1.1474609652039001</v>
      </c>
    </row>
    <row r="129" spans="1:4" x14ac:dyDescent="0.25">
      <c r="A129" s="44" t="s">
        <v>26</v>
      </c>
      <c r="B129" s="28">
        <f ca="1">IFERROR(__xludf.DUMMYFUNCTION("STDEV(FILTER(base_de_dados[tempo],base_de_dados[tarefas]=A129))"),59.4044250396021)</f>
        <v>59.404425039602103</v>
      </c>
      <c r="C129" s="28">
        <f ca="1">IFERROR(__xludf.DUMMYFUNCTION("STDEV(FILTER(base_de_dados[tentativas],base_de_dados[tarefas]=A129))"),0.617213399848367)</f>
        <v>0.61721339984836698</v>
      </c>
      <c r="D129" s="28">
        <f ca="1">IFERROR(__xludf.DUMMYFUNCTION("STDEV(FILTER(base_de_dados[avaliar dificuldade 1-5],base_de_dados[tarefas]=A129))"),1.18723367940932)</f>
        <v>1.1872336794093199</v>
      </c>
    </row>
    <row r="130" spans="1:4" x14ac:dyDescent="0.25">
      <c r="A130" s="44" t="s">
        <v>24</v>
      </c>
      <c r="C130" s="28">
        <f ca="1">IFERROR(__xludf.DUMMYFUNCTION("STDEV(FILTER(base_de_dados[tentativas],base_de_dados[tarefas]=A130))"),1.03077640640441)</f>
        <v>1.03077640640441</v>
      </c>
      <c r="D130" s="28">
        <f ca="1">IFERROR(__xludf.DUMMYFUNCTION("STDEV(FILTER(base_de_dados[avaliar dificuldade 1-5],base_de_dados[tarefas]=A130))"),0.806225774829855)</f>
        <v>0.80622577482985502</v>
      </c>
    </row>
    <row r="131" spans="1:4" x14ac:dyDescent="0.25">
      <c r="A131" s="44" t="s">
        <v>32</v>
      </c>
      <c r="B131" s="28">
        <f ca="1">IFERROR(__xludf.DUMMYFUNCTION("STDEV(FILTER(base_de_dados[tempo],base_de_dados[tarefas]=A131))"),42.4106904761837)</f>
        <v>42.410690476183703</v>
      </c>
      <c r="C131" s="28">
        <f ca="1">IFERROR(__xludf.DUMMYFUNCTION("STDEV(FILTER(base_de_dados[tentativas],base_de_dados[tarefas]=A131))"),0.351865775274498)</f>
        <v>0.35186577527449803</v>
      </c>
      <c r="D131" s="28">
        <f ca="1">IFERROR(__xludf.DUMMYFUNCTION("STDEV(FILTER(base_de_dados[avaliar dificuldade 1-5],base_de_dados[tarefas]=A131))"),0.961150104723254)</f>
        <v>0.96115010472325402</v>
      </c>
    </row>
    <row r="132" spans="1:4" x14ac:dyDescent="0.25">
      <c r="A132" s="44" t="s">
        <v>27</v>
      </c>
      <c r="B132" s="28">
        <f ca="1">IFERROR(__xludf.DUMMYFUNCTION("STDEV(FILTER(base_de_dados[tempo],base_de_dados[tarefas]=A132))"),17.5973482850873)</f>
        <v>17.5973482850873</v>
      </c>
      <c r="C132" s="28">
        <f ca="1">IFERROR(__xludf.DUMMYFUNCTION("STDEV(FILTER(base_de_dados[tentativas],base_de_dados[tarefas]=A132))"),0.341565025531986)</f>
        <v>0.34156502553198598</v>
      </c>
      <c r="D132" s="28">
        <f ca="1">IFERROR(__xludf.DUMMYFUNCTION("STDEV(FILTER(base_de_dados[avaliar dificuldade 1-5],base_de_dados[tarefas]=A132))"),0.602079728939614)</f>
        <v>0.60207972893961403</v>
      </c>
    </row>
    <row r="133" spans="1:4" x14ac:dyDescent="0.25">
      <c r="A133" s="44" t="s">
        <v>34</v>
      </c>
      <c r="B133" s="28">
        <f ca="1">IFERROR(__xludf.DUMMYFUNCTION("STDEV(FILTER(base_de_dados[tempo],base_de_dados[tarefas]=A133))"),39.8747518278588)</f>
        <v>39.874751827858802</v>
      </c>
      <c r="C133" s="28">
        <f ca="1">IFERROR(__xludf.DUMMYFUNCTION("STDEV(FILTER(base_de_dados[tentativas],base_de_dados[tarefas]=A133))"),0.25)</f>
        <v>0.25</v>
      </c>
      <c r="D133" s="28">
        <f ca="1">IFERROR(__xludf.DUMMYFUNCTION("STDEV(FILTER(base_de_dados[avaliar dificuldade 1-5],base_de_dados[tarefas]=A133))"),0.632455532033675)</f>
        <v>0.63245553203367499</v>
      </c>
    </row>
    <row r="134" spans="1:4" x14ac:dyDescent="0.25">
      <c r="A134" s="44" t="s">
        <v>42</v>
      </c>
      <c r="B134" s="28">
        <f ca="1">IFERROR(__xludf.DUMMYFUNCTION("STDEV(FILTER(base_de_dados[tempo],base_de_dados[tarefas]=A134))"),28.3377587580346)</f>
        <v>28.3377587580346</v>
      </c>
      <c r="C134" s="28">
        <f ca="1">IFERROR(__xludf.DUMMYFUNCTION("STDEV(FILTER(base_de_dados[tentativas],base_de_dados[tarefas]=A134))"),0)</f>
        <v>0</v>
      </c>
      <c r="D134" s="28">
        <f ca="1">IFERROR(__xludf.DUMMYFUNCTION("STDEV(FILTER(base_de_dados[avaliar dificuldade 1-5],base_de_dados[tarefas]=A134))"),0.883715101688536)</f>
        <v>0.88371510168853595</v>
      </c>
    </row>
    <row r="135" spans="1:4" x14ac:dyDescent="0.25">
      <c r="A135" s="44" t="s">
        <v>36</v>
      </c>
      <c r="B135" s="28">
        <f ca="1">IFERROR(__xludf.DUMMYFUNCTION("STDEV(FILTER(base_de_dados[tempo],base_de_dados[tarefas]=A135))"),72.8668877703263)</f>
        <v>72.866887770326301</v>
      </c>
      <c r="C135" s="28">
        <f ca="1">IFERROR(__xludf.DUMMYFUNCTION("STDEV(FILTER(base_de_dados[tentativas],base_de_dados[tarefas]=A135))"),0.816496580927726)</f>
        <v>0.81649658092772603</v>
      </c>
      <c r="D135" s="28">
        <f ca="1">IFERROR(__xludf.DUMMYFUNCTION("STDEV(FILTER(base_de_dados[avaliar dificuldade 1-5],base_de_dados[tarefas]=A135))"),0.957427107756338)</f>
        <v>0.95742710775633799</v>
      </c>
    </row>
    <row r="136" spans="1:4" x14ac:dyDescent="0.25">
      <c r="A136" s="44" t="s">
        <v>44</v>
      </c>
      <c r="B136" s="28">
        <f ca="1">IFERROR(__xludf.DUMMYFUNCTION("STDEV(FILTER(base_de_dados[tempo],base_de_dados[tarefas]=A136))"),99.5452995709323)</f>
        <v>99.545299570932301</v>
      </c>
      <c r="C136" s="28">
        <f ca="1">IFERROR(__xludf.DUMMYFUNCTION("STDEV(FILTER(base_de_dados[tentativas],base_de_dados[tarefas]=A136))"),1.01418510567422)</f>
        <v>1.0141851056742199</v>
      </c>
      <c r="D136" s="28">
        <f ca="1">IFERROR(__xludf.DUMMYFUNCTION("STDEV(FILTER(base_de_dados[avaliar dificuldade 1-5],base_de_dados[tarefas]=A136))"),0.990430401872024)</f>
        <v>0.99043040187202402</v>
      </c>
    </row>
    <row r="137" spans="1:4" x14ac:dyDescent="0.25">
      <c r="A137" s="44" t="s">
        <v>39</v>
      </c>
      <c r="B137" s="28">
        <f ca="1">IFERROR(__xludf.DUMMYFUNCTION("STDEV(FILTER(base_de_dados[tempo],base_de_dados[tarefas]=A137))"),44.2371921200551)</f>
        <v>44.237192120055099</v>
      </c>
      <c r="C137" s="28">
        <f ca="1">IFERROR(__xludf.DUMMYFUNCTION("STDEV(FILTER(base_de_dados[tentativas],base_de_dados[tarefas]=A137))"),0.249999999999999)</f>
        <v>0.249999999999999</v>
      </c>
      <c r="D137" s="28">
        <f ca="1">IFERROR(__xludf.DUMMYFUNCTION("STDEV(FILTER(base_de_dados[avaliar dificuldade 1-5],base_de_dados[tarefas]=A137))"),1.20933866224478)</f>
        <v>1.2093386622447799</v>
      </c>
    </row>
    <row r="138" spans="1:4" x14ac:dyDescent="0.25">
      <c r="A138" s="44" t="s">
        <v>45</v>
      </c>
      <c r="B138" s="28">
        <f ca="1">IFERROR(__xludf.DUMMYFUNCTION("STDEV(FILTER(base_de_dados[tempo],base_de_dados[tarefas]=A138))"),67.2720135682276)</f>
        <v>67.272013568227607</v>
      </c>
      <c r="C138" s="28">
        <f ca="1">IFERROR(__xludf.DUMMYFUNCTION("STDEV(FILTER(base_de_dados[tentativas],base_de_dados[tarefas]=A138))"),0.414039335605412)</f>
        <v>0.41403933560541201</v>
      </c>
      <c r="D138" s="28">
        <f ca="1">IFERROR(__xludf.DUMMYFUNCTION("STDEV(FILTER(base_de_dados[avaliar dificuldade 1-5],base_de_dados[tarefas]=A138))"),1.175139302786)</f>
        <v>1.175139302786</v>
      </c>
    </row>
  </sheetData>
  <mergeCells count="2">
    <mergeCell ref="A5:B5"/>
    <mergeCell ref="A69:B69"/>
  </mergeCells>
  <pageMargins left="0.511811024" right="0.511811024" top="0.78740157499999996" bottom="0.78740157499999996" header="0.31496062000000002" footer="0.31496062000000002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94"/>
  <sheetViews>
    <sheetView topLeftCell="A176" workbookViewId="0">
      <selection activeCell="H189" sqref="H189"/>
    </sheetView>
  </sheetViews>
  <sheetFormatPr defaultColWidth="12.6640625" defaultRowHeight="15.75" customHeight="1" x14ac:dyDescent="0.25"/>
  <cols>
    <col min="1" max="1" width="18.6640625" customWidth="1"/>
    <col min="5" max="5" width="21.6640625" customWidth="1"/>
    <col min="6" max="6" width="23.33203125" customWidth="1"/>
    <col min="7" max="7" width="18.77734375" customWidth="1"/>
  </cols>
  <sheetData>
    <row r="1" spans="1:15" ht="13.2" x14ac:dyDescent="0.25">
      <c r="J1" s="2"/>
      <c r="K1" s="2"/>
      <c r="L1" s="2"/>
      <c r="M1" s="2"/>
      <c r="N1" s="4" t="s">
        <v>9</v>
      </c>
      <c r="O1" s="4" t="s">
        <v>10</v>
      </c>
    </row>
    <row r="2" spans="1:15" ht="22.5" customHeight="1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J2" s="12"/>
      <c r="K2" s="12"/>
      <c r="L2" s="12"/>
      <c r="M2" s="15"/>
      <c r="N2" s="17"/>
    </row>
    <row r="3" spans="1:15" ht="22.5" customHeight="1" x14ac:dyDescent="0.25">
      <c r="A3" s="18" t="s">
        <v>15</v>
      </c>
      <c r="B3" s="19" t="s">
        <v>16</v>
      </c>
      <c r="C3" s="19">
        <v>1</v>
      </c>
      <c r="D3" s="19">
        <v>172</v>
      </c>
      <c r="E3" s="19">
        <v>3</v>
      </c>
      <c r="F3" s="19" t="s">
        <v>17</v>
      </c>
      <c r="J3" s="12"/>
      <c r="K3" s="12"/>
      <c r="L3" s="12"/>
      <c r="M3" s="15"/>
      <c r="N3" s="17"/>
    </row>
    <row r="4" spans="1:15" ht="22.5" customHeight="1" x14ac:dyDescent="0.25">
      <c r="A4" s="21"/>
      <c r="B4" s="19" t="s">
        <v>24</v>
      </c>
      <c r="C4" s="19">
        <v>1</v>
      </c>
      <c r="D4" s="19">
        <v>113</v>
      </c>
      <c r="E4" s="19">
        <v>1</v>
      </c>
      <c r="F4" s="19" t="s">
        <v>26</v>
      </c>
      <c r="J4" s="12"/>
      <c r="K4" s="12"/>
      <c r="L4" s="12"/>
      <c r="M4" s="15"/>
      <c r="N4" s="17"/>
    </row>
    <row r="5" spans="1:15" ht="22.5" customHeight="1" x14ac:dyDescent="0.25">
      <c r="A5" s="21"/>
      <c r="B5" s="19" t="s">
        <v>27</v>
      </c>
      <c r="C5" s="19">
        <v>1</v>
      </c>
      <c r="D5" s="19">
        <v>37</v>
      </c>
      <c r="E5" s="19">
        <v>1</v>
      </c>
      <c r="F5" s="19" t="s">
        <v>32</v>
      </c>
      <c r="J5" s="12"/>
      <c r="K5" s="12"/>
      <c r="L5" s="12"/>
      <c r="M5" s="15"/>
      <c r="N5" s="17"/>
    </row>
    <row r="6" spans="1:15" ht="22.5" customHeight="1" x14ac:dyDescent="0.25">
      <c r="A6" s="21"/>
      <c r="B6" s="19" t="s">
        <v>34</v>
      </c>
      <c r="C6" s="19">
        <v>1</v>
      </c>
      <c r="D6" s="19">
        <v>31</v>
      </c>
      <c r="E6" s="19">
        <v>1</v>
      </c>
      <c r="F6" s="19" t="s">
        <v>35</v>
      </c>
      <c r="J6" s="12"/>
      <c r="K6" s="12"/>
      <c r="L6" s="12"/>
      <c r="M6" s="15"/>
      <c r="N6" s="17"/>
    </row>
    <row r="7" spans="1:15" ht="22.5" customHeight="1" x14ac:dyDescent="0.25">
      <c r="A7" s="21"/>
      <c r="B7" s="19" t="s">
        <v>36</v>
      </c>
      <c r="C7" s="19">
        <v>1</v>
      </c>
      <c r="D7" s="19">
        <v>248</v>
      </c>
      <c r="E7" s="19">
        <v>5</v>
      </c>
      <c r="F7" s="19" t="s">
        <v>35</v>
      </c>
      <c r="J7" s="12"/>
      <c r="K7" s="12"/>
      <c r="L7" s="12"/>
      <c r="M7" s="15"/>
      <c r="N7" s="17"/>
    </row>
    <row r="8" spans="1:15" ht="22.5" customHeight="1" x14ac:dyDescent="0.25">
      <c r="A8" s="21"/>
      <c r="B8" s="19" t="s">
        <v>39</v>
      </c>
      <c r="C8" s="19">
        <v>1</v>
      </c>
      <c r="D8" s="19">
        <v>26</v>
      </c>
      <c r="E8" s="19">
        <v>2</v>
      </c>
      <c r="F8" s="19" t="s">
        <v>35</v>
      </c>
      <c r="J8" s="12"/>
      <c r="K8" s="12"/>
      <c r="L8" s="12"/>
      <c r="M8" s="15"/>
      <c r="N8" s="17"/>
    </row>
    <row r="9" spans="1:15" ht="22.5" customHeight="1" x14ac:dyDescent="0.25">
      <c r="A9" s="18" t="s">
        <v>40</v>
      </c>
      <c r="B9" s="19" t="s">
        <v>17</v>
      </c>
      <c r="C9" s="19">
        <v>1</v>
      </c>
      <c r="D9" s="19">
        <v>124</v>
      </c>
      <c r="E9" s="19">
        <v>1</v>
      </c>
      <c r="F9" s="19" t="s">
        <v>35</v>
      </c>
      <c r="J9" s="12"/>
      <c r="K9" s="12"/>
      <c r="L9" s="12"/>
      <c r="M9" s="15"/>
      <c r="N9" s="17"/>
    </row>
    <row r="10" spans="1:15" ht="22.5" customHeight="1" x14ac:dyDescent="0.25">
      <c r="A10" s="21"/>
      <c r="B10" s="19" t="s">
        <v>26</v>
      </c>
      <c r="C10" s="19">
        <v>1</v>
      </c>
      <c r="D10" s="19">
        <v>93</v>
      </c>
      <c r="E10" s="19">
        <v>1</v>
      </c>
      <c r="F10" s="19" t="s">
        <v>35</v>
      </c>
      <c r="J10" s="12"/>
      <c r="K10" s="12"/>
      <c r="L10" s="12"/>
      <c r="M10" s="15"/>
      <c r="N10" s="17"/>
    </row>
    <row r="11" spans="1:15" ht="22.5" customHeight="1" x14ac:dyDescent="0.25">
      <c r="A11" s="21"/>
      <c r="B11" s="19" t="s">
        <v>32</v>
      </c>
      <c r="C11" s="19">
        <v>1</v>
      </c>
      <c r="D11" s="19">
        <v>40</v>
      </c>
      <c r="E11" s="19">
        <v>1</v>
      </c>
      <c r="F11" s="19" t="s">
        <v>35</v>
      </c>
      <c r="J11" s="12"/>
      <c r="K11" s="12"/>
      <c r="L11" s="12"/>
      <c r="M11" s="15"/>
      <c r="N11" s="17"/>
    </row>
    <row r="12" spans="1:15" ht="22.5" customHeight="1" x14ac:dyDescent="0.25">
      <c r="A12" s="21"/>
      <c r="B12" s="19" t="s">
        <v>42</v>
      </c>
      <c r="C12" s="19">
        <v>1</v>
      </c>
      <c r="D12" s="19">
        <v>57</v>
      </c>
      <c r="E12" s="19">
        <v>1</v>
      </c>
      <c r="F12" s="19" t="s">
        <v>34</v>
      </c>
      <c r="J12" s="12"/>
      <c r="K12" s="12"/>
      <c r="L12" s="12"/>
      <c r="M12" s="15"/>
      <c r="N12" s="17"/>
    </row>
    <row r="13" spans="1:15" ht="22.5" customHeight="1" x14ac:dyDescent="0.25">
      <c r="A13" s="21"/>
      <c r="B13" s="19" t="s">
        <v>44</v>
      </c>
      <c r="C13" s="19">
        <v>2</v>
      </c>
      <c r="D13" s="19">
        <v>298</v>
      </c>
      <c r="E13" s="19">
        <v>3</v>
      </c>
      <c r="F13" s="19" t="s">
        <v>36</v>
      </c>
    </row>
    <row r="14" spans="1:15" ht="22.5" customHeight="1" x14ac:dyDescent="0.25">
      <c r="A14" s="21"/>
      <c r="B14" s="19" t="s">
        <v>45</v>
      </c>
      <c r="C14" s="19">
        <v>2</v>
      </c>
      <c r="D14" s="19">
        <v>216</v>
      </c>
      <c r="E14" s="19">
        <v>3</v>
      </c>
      <c r="F14" s="19" t="s">
        <v>39</v>
      </c>
    </row>
    <row r="15" spans="1:15" ht="22.5" customHeight="1" x14ac:dyDescent="0.25">
      <c r="A15" s="18" t="s">
        <v>47</v>
      </c>
      <c r="B15" s="19" t="s">
        <v>16</v>
      </c>
      <c r="C15" s="19">
        <v>1</v>
      </c>
      <c r="D15" s="19">
        <v>44</v>
      </c>
      <c r="E15" s="19">
        <v>1</v>
      </c>
      <c r="F15" s="19" t="s">
        <v>16</v>
      </c>
    </row>
    <row r="16" spans="1:15" ht="22.5" customHeight="1" x14ac:dyDescent="0.25">
      <c r="A16" s="21"/>
      <c r="B16" s="19" t="s">
        <v>24</v>
      </c>
      <c r="C16" s="19">
        <v>1</v>
      </c>
      <c r="D16" s="19">
        <v>27</v>
      </c>
      <c r="E16" s="19">
        <v>2</v>
      </c>
      <c r="F16" s="19" t="s">
        <v>24</v>
      </c>
    </row>
    <row r="17" spans="1:6" ht="22.5" customHeight="1" x14ac:dyDescent="0.25">
      <c r="A17" s="21"/>
      <c r="B17" s="19" t="s">
        <v>27</v>
      </c>
      <c r="C17" s="19">
        <v>2</v>
      </c>
      <c r="D17" s="19">
        <v>88</v>
      </c>
      <c r="E17" s="19">
        <v>1</v>
      </c>
      <c r="F17" s="19" t="s">
        <v>32</v>
      </c>
    </row>
    <row r="18" spans="1:6" ht="22.5" customHeight="1" x14ac:dyDescent="0.25">
      <c r="A18" s="21"/>
      <c r="B18" s="19" t="s">
        <v>34</v>
      </c>
      <c r="C18" s="19">
        <v>1</v>
      </c>
      <c r="D18" s="19">
        <v>10</v>
      </c>
      <c r="E18" s="19">
        <v>1</v>
      </c>
      <c r="F18" s="19" t="s">
        <v>35</v>
      </c>
    </row>
    <row r="19" spans="1:6" ht="22.5" customHeight="1" x14ac:dyDescent="0.25">
      <c r="A19" s="21"/>
      <c r="B19" s="19" t="s">
        <v>36</v>
      </c>
      <c r="C19" s="19">
        <v>2</v>
      </c>
      <c r="D19" s="19">
        <v>61</v>
      </c>
      <c r="E19" s="19">
        <v>3</v>
      </c>
      <c r="F19" s="19" t="s">
        <v>35</v>
      </c>
    </row>
    <row r="20" spans="1:6" ht="22.5" customHeight="1" x14ac:dyDescent="0.25">
      <c r="A20" s="21"/>
      <c r="B20" s="19" t="s">
        <v>39</v>
      </c>
      <c r="C20" s="19">
        <v>1</v>
      </c>
      <c r="D20" s="19">
        <v>27</v>
      </c>
      <c r="E20" s="19">
        <v>2</v>
      </c>
      <c r="F20" s="19" t="s">
        <v>35</v>
      </c>
    </row>
    <row r="21" spans="1:6" ht="22.5" customHeight="1" x14ac:dyDescent="0.25">
      <c r="A21" s="18" t="s">
        <v>51</v>
      </c>
      <c r="B21" s="19" t="s">
        <v>17</v>
      </c>
      <c r="C21" s="19">
        <v>1</v>
      </c>
      <c r="D21" s="19">
        <v>93</v>
      </c>
      <c r="E21" s="19">
        <v>2</v>
      </c>
      <c r="F21" s="19" t="s">
        <v>35</v>
      </c>
    </row>
    <row r="22" spans="1:6" ht="22.5" customHeight="1" x14ac:dyDescent="0.25">
      <c r="A22" s="21"/>
      <c r="B22" s="19" t="s">
        <v>26</v>
      </c>
      <c r="C22" s="19">
        <v>1</v>
      </c>
      <c r="D22" s="19">
        <v>39</v>
      </c>
      <c r="E22" s="19">
        <v>1</v>
      </c>
      <c r="F22" s="19" t="s">
        <v>35</v>
      </c>
    </row>
    <row r="23" spans="1:6" ht="22.5" customHeight="1" x14ac:dyDescent="0.25">
      <c r="A23" s="21"/>
      <c r="B23" s="19" t="s">
        <v>32</v>
      </c>
      <c r="C23" s="19">
        <v>1</v>
      </c>
      <c r="D23" s="19">
        <v>46</v>
      </c>
      <c r="E23" s="19">
        <v>2</v>
      </c>
      <c r="F23" s="19" t="s">
        <v>35</v>
      </c>
    </row>
    <row r="24" spans="1:6" ht="22.5" customHeight="1" x14ac:dyDescent="0.25">
      <c r="A24" s="21"/>
      <c r="B24" s="19" t="s">
        <v>42</v>
      </c>
      <c r="C24" s="19">
        <v>1</v>
      </c>
      <c r="D24" s="19">
        <v>36</v>
      </c>
      <c r="E24" s="19">
        <v>2</v>
      </c>
      <c r="F24" s="19" t="s">
        <v>34</v>
      </c>
    </row>
    <row r="25" spans="1:6" ht="22.5" customHeight="1" x14ac:dyDescent="0.25">
      <c r="A25" s="21"/>
      <c r="B25" s="19" t="s">
        <v>44</v>
      </c>
      <c r="C25" s="19">
        <v>2</v>
      </c>
      <c r="D25" s="19">
        <v>124</v>
      </c>
      <c r="E25" s="19">
        <v>3</v>
      </c>
      <c r="F25" s="19" t="s">
        <v>36</v>
      </c>
    </row>
    <row r="26" spans="1:6" ht="22.5" customHeight="1" x14ac:dyDescent="0.25">
      <c r="A26" s="21"/>
      <c r="B26" s="19" t="s">
        <v>45</v>
      </c>
      <c r="C26" s="19">
        <v>1</v>
      </c>
      <c r="D26" s="19">
        <v>79</v>
      </c>
      <c r="E26" s="19">
        <v>3</v>
      </c>
      <c r="F26" s="19" t="s">
        <v>39</v>
      </c>
    </row>
    <row r="27" spans="1:6" ht="22.5" customHeight="1" x14ac:dyDescent="0.25">
      <c r="A27" s="18" t="s">
        <v>58</v>
      </c>
      <c r="B27" s="19" t="s">
        <v>16</v>
      </c>
      <c r="C27" s="19">
        <v>1</v>
      </c>
      <c r="D27" s="19">
        <v>83</v>
      </c>
      <c r="E27" s="19">
        <v>2</v>
      </c>
      <c r="F27" s="19" t="s">
        <v>17</v>
      </c>
    </row>
    <row r="28" spans="1:6" ht="22.5" customHeight="1" x14ac:dyDescent="0.25">
      <c r="A28" s="21"/>
      <c r="B28" s="19" t="s">
        <v>24</v>
      </c>
      <c r="C28" s="19">
        <v>1</v>
      </c>
      <c r="D28" s="19">
        <v>65</v>
      </c>
      <c r="E28" s="19">
        <v>1</v>
      </c>
      <c r="F28" s="19" t="s">
        <v>26</v>
      </c>
    </row>
    <row r="29" spans="1:6" ht="22.5" customHeight="1" x14ac:dyDescent="0.25">
      <c r="A29" s="21"/>
      <c r="B29" s="19" t="s">
        <v>27</v>
      </c>
      <c r="C29" s="19">
        <v>1</v>
      </c>
      <c r="D29" s="19">
        <v>16</v>
      </c>
      <c r="E29" s="19">
        <v>1</v>
      </c>
      <c r="F29" s="19" t="s">
        <v>32</v>
      </c>
    </row>
    <row r="30" spans="1:6" ht="22.5" customHeight="1" x14ac:dyDescent="0.25">
      <c r="A30" s="21"/>
      <c r="B30" s="19" t="s">
        <v>34</v>
      </c>
      <c r="C30" s="19">
        <v>1</v>
      </c>
      <c r="D30" s="19">
        <v>29</v>
      </c>
      <c r="E30" s="19">
        <v>2</v>
      </c>
      <c r="F30" s="19" t="s">
        <v>35</v>
      </c>
    </row>
    <row r="31" spans="1:6" ht="22.5" customHeight="1" x14ac:dyDescent="0.25">
      <c r="A31" s="21"/>
      <c r="B31" s="19" t="s">
        <v>36</v>
      </c>
      <c r="C31" s="19">
        <v>2</v>
      </c>
      <c r="D31" s="19">
        <v>105</v>
      </c>
      <c r="E31" s="19">
        <v>3</v>
      </c>
      <c r="F31" s="19" t="s">
        <v>35</v>
      </c>
    </row>
    <row r="32" spans="1:6" ht="22.5" customHeight="1" x14ac:dyDescent="0.25">
      <c r="A32" s="21"/>
      <c r="B32" s="19" t="s">
        <v>39</v>
      </c>
      <c r="C32" s="19">
        <v>2</v>
      </c>
      <c r="D32" s="19">
        <v>142</v>
      </c>
      <c r="E32" s="19">
        <v>3</v>
      </c>
      <c r="F32" s="19" t="s">
        <v>35</v>
      </c>
    </row>
    <row r="33" spans="1:6" ht="22.5" customHeight="1" x14ac:dyDescent="0.25">
      <c r="A33" s="18" t="s">
        <v>67</v>
      </c>
      <c r="B33" s="19" t="s">
        <v>17</v>
      </c>
      <c r="C33" s="19">
        <v>1</v>
      </c>
      <c r="D33" s="19">
        <v>54</v>
      </c>
      <c r="E33" s="19">
        <v>2</v>
      </c>
      <c r="F33" s="19" t="s">
        <v>35</v>
      </c>
    </row>
    <row r="34" spans="1:6" ht="22.5" customHeight="1" x14ac:dyDescent="0.25">
      <c r="A34" s="21"/>
      <c r="B34" s="19" t="s">
        <v>26</v>
      </c>
      <c r="C34" s="19">
        <v>1</v>
      </c>
      <c r="D34" s="19">
        <v>58</v>
      </c>
      <c r="E34" s="19">
        <v>1</v>
      </c>
      <c r="F34" s="19" t="s">
        <v>35</v>
      </c>
    </row>
    <row r="35" spans="1:6" ht="22.5" customHeight="1" x14ac:dyDescent="0.25">
      <c r="A35" s="21"/>
      <c r="B35" s="19" t="s">
        <v>32</v>
      </c>
      <c r="C35" s="19">
        <v>1</v>
      </c>
      <c r="D35" s="19">
        <v>54</v>
      </c>
      <c r="E35" s="19">
        <v>1</v>
      </c>
      <c r="F35" s="19" t="s">
        <v>35</v>
      </c>
    </row>
    <row r="36" spans="1:6" ht="22.5" customHeight="1" x14ac:dyDescent="0.25">
      <c r="A36" s="21"/>
      <c r="B36" s="19" t="s">
        <v>42</v>
      </c>
      <c r="C36" s="19">
        <v>1</v>
      </c>
      <c r="D36" s="19">
        <v>103</v>
      </c>
      <c r="E36" s="19">
        <v>2</v>
      </c>
      <c r="F36" s="19" t="s">
        <v>34</v>
      </c>
    </row>
    <row r="37" spans="1:6" ht="22.5" customHeight="1" x14ac:dyDescent="0.25">
      <c r="A37" s="21"/>
      <c r="B37" s="19" t="s">
        <v>44</v>
      </c>
      <c r="C37" s="19">
        <v>4</v>
      </c>
      <c r="D37" s="19">
        <v>255</v>
      </c>
      <c r="E37" s="19">
        <v>4</v>
      </c>
      <c r="F37" s="19" t="s">
        <v>44</v>
      </c>
    </row>
    <row r="38" spans="1:6" ht="22.5" customHeight="1" x14ac:dyDescent="0.25">
      <c r="A38" s="21"/>
      <c r="B38" s="19" t="s">
        <v>45</v>
      </c>
      <c r="C38" s="19">
        <v>1</v>
      </c>
      <c r="D38" s="19">
        <v>24</v>
      </c>
      <c r="E38" s="19">
        <v>2</v>
      </c>
      <c r="F38" s="19" t="s">
        <v>39</v>
      </c>
    </row>
    <row r="39" spans="1:6" ht="22.5" customHeight="1" x14ac:dyDescent="0.25">
      <c r="A39" s="18" t="s">
        <v>73</v>
      </c>
      <c r="B39" s="19" t="s">
        <v>16</v>
      </c>
      <c r="C39" s="19">
        <v>2</v>
      </c>
      <c r="D39" s="19">
        <v>214</v>
      </c>
      <c r="E39" s="19">
        <v>3</v>
      </c>
      <c r="F39" s="19" t="s">
        <v>16</v>
      </c>
    </row>
    <row r="40" spans="1:6" ht="22.5" customHeight="1" x14ac:dyDescent="0.25">
      <c r="A40" s="21"/>
      <c r="B40" s="19" t="s">
        <v>24</v>
      </c>
      <c r="C40" s="19">
        <v>1</v>
      </c>
      <c r="D40" s="19">
        <v>19</v>
      </c>
      <c r="E40" s="19">
        <v>1</v>
      </c>
      <c r="F40" s="19" t="s">
        <v>24</v>
      </c>
    </row>
    <row r="41" spans="1:6" ht="22.5" customHeight="1" x14ac:dyDescent="0.25">
      <c r="A41" s="21"/>
      <c r="B41" s="19" t="s">
        <v>27</v>
      </c>
      <c r="C41" s="19">
        <v>1</v>
      </c>
      <c r="D41" s="19">
        <v>39</v>
      </c>
      <c r="E41" s="19">
        <v>2</v>
      </c>
      <c r="F41" s="19" t="s">
        <v>27</v>
      </c>
    </row>
    <row r="42" spans="1:6" ht="22.5" customHeight="1" x14ac:dyDescent="0.25">
      <c r="A42" s="21"/>
      <c r="B42" s="19" t="s">
        <v>34</v>
      </c>
      <c r="C42" s="19">
        <v>1</v>
      </c>
      <c r="D42" s="19">
        <v>86</v>
      </c>
      <c r="E42" s="19">
        <v>1</v>
      </c>
      <c r="F42" s="19" t="s">
        <v>35</v>
      </c>
    </row>
    <row r="43" spans="1:6" ht="22.5" customHeight="1" x14ac:dyDescent="0.25">
      <c r="A43" s="21"/>
      <c r="B43" s="19" t="s">
        <v>36</v>
      </c>
      <c r="C43" s="19">
        <v>1</v>
      </c>
      <c r="D43" s="19">
        <v>50</v>
      </c>
      <c r="E43" s="19">
        <v>1</v>
      </c>
      <c r="F43" s="19" t="s">
        <v>35</v>
      </c>
    </row>
    <row r="44" spans="1:6" ht="22.5" customHeight="1" x14ac:dyDescent="0.25">
      <c r="A44" s="21"/>
      <c r="B44" s="19" t="s">
        <v>39</v>
      </c>
      <c r="C44" s="19">
        <v>1</v>
      </c>
      <c r="D44" s="19">
        <v>47</v>
      </c>
      <c r="E44" s="19">
        <v>2</v>
      </c>
      <c r="F44" s="19" t="s">
        <v>35</v>
      </c>
    </row>
    <row r="45" spans="1:6" ht="22.5" customHeight="1" x14ac:dyDescent="0.25">
      <c r="A45" s="18" t="s">
        <v>78</v>
      </c>
      <c r="B45" s="19" t="s">
        <v>17</v>
      </c>
      <c r="C45" s="19">
        <v>1</v>
      </c>
      <c r="D45" s="19">
        <v>82</v>
      </c>
      <c r="E45" s="19">
        <v>1</v>
      </c>
      <c r="F45" s="19" t="s">
        <v>35</v>
      </c>
    </row>
    <row r="46" spans="1:6" ht="22.5" customHeight="1" x14ac:dyDescent="0.25">
      <c r="A46" s="21"/>
      <c r="B46" s="19" t="s">
        <v>26</v>
      </c>
      <c r="C46" s="19">
        <v>1</v>
      </c>
      <c r="D46" s="19">
        <v>32</v>
      </c>
      <c r="E46" s="19">
        <v>1</v>
      </c>
      <c r="F46" s="19" t="s">
        <v>35</v>
      </c>
    </row>
    <row r="47" spans="1:6" ht="22.5" customHeight="1" x14ac:dyDescent="0.25">
      <c r="A47" s="21"/>
      <c r="B47" s="19" t="s">
        <v>32</v>
      </c>
      <c r="C47" s="19">
        <v>2</v>
      </c>
      <c r="D47" s="19">
        <v>88</v>
      </c>
      <c r="E47" s="19">
        <v>3</v>
      </c>
      <c r="F47" s="19" t="s">
        <v>35</v>
      </c>
    </row>
    <row r="48" spans="1:6" ht="22.5" customHeight="1" x14ac:dyDescent="0.25">
      <c r="A48" s="21"/>
      <c r="B48" s="19" t="s">
        <v>42</v>
      </c>
      <c r="C48" s="19">
        <v>1</v>
      </c>
      <c r="D48" s="19">
        <v>55</v>
      </c>
      <c r="E48" s="19">
        <v>2</v>
      </c>
      <c r="F48" s="19" t="s">
        <v>34</v>
      </c>
    </row>
    <row r="49" spans="1:6" ht="22.5" customHeight="1" x14ac:dyDescent="0.25">
      <c r="A49" s="21"/>
      <c r="B49" s="19" t="s">
        <v>44</v>
      </c>
      <c r="C49" s="19">
        <v>4</v>
      </c>
      <c r="D49" s="19">
        <v>170</v>
      </c>
      <c r="E49" s="19">
        <v>4</v>
      </c>
      <c r="F49" s="19" t="s">
        <v>44</v>
      </c>
    </row>
    <row r="50" spans="1:6" ht="22.5" customHeight="1" x14ac:dyDescent="0.25">
      <c r="A50" s="21"/>
      <c r="B50" s="19" t="s">
        <v>45</v>
      </c>
      <c r="C50" s="19">
        <v>2</v>
      </c>
      <c r="D50" s="19">
        <v>74</v>
      </c>
      <c r="E50" s="19">
        <v>2</v>
      </c>
      <c r="F50" s="19" t="s">
        <v>39</v>
      </c>
    </row>
    <row r="51" spans="1:6" ht="22.5" customHeight="1" x14ac:dyDescent="0.25">
      <c r="A51" s="18" t="s">
        <v>83</v>
      </c>
      <c r="B51" s="19" t="s">
        <v>16</v>
      </c>
      <c r="C51" s="19">
        <v>1</v>
      </c>
      <c r="D51" s="19">
        <v>141</v>
      </c>
      <c r="E51" s="19">
        <v>2</v>
      </c>
      <c r="F51" s="19" t="s">
        <v>17</v>
      </c>
    </row>
    <row r="52" spans="1:6" ht="22.5" customHeight="1" x14ac:dyDescent="0.25">
      <c r="A52" s="21"/>
      <c r="B52" s="19" t="s">
        <v>24</v>
      </c>
      <c r="C52" s="19">
        <v>1</v>
      </c>
      <c r="D52" s="19">
        <v>62</v>
      </c>
      <c r="E52" s="19">
        <v>2</v>
      </c>
      <c r="F52" s="19" t="s">
        <v>26</v>
      </c>
    </row>
    <row r="53" spans="1:6" ht="22.5" customHeight="1" x14ac:dyDescent="0.25">
      <c r="A53" s="21"/>
      <c r="B53" s="19" t="s">
        <v>27</v>
      </c>
      <c r="C53" s="19">
        <v>1</v>
      </c>
      <c r="D53" s="19">
        <v>37</v>
      </c>
      <c r="E53" s="19">
        <v>1</v>
      </c>
      <c r="F53" s="19" t="s">
        <v>27</v>
      </c>
    </row>
    <row r="54" spans="1:6" ht="22.5" customHeight="1" x14ac:dyDescent="0.25">
      <c r="A54" s="21"/>
      <c r="B54" s="19" t="s">
        <v>34</v>
      </c>
      <c r="C54" s="19">
        <v>1</v>
      </c>
      <c r="D54" s="19">
        <v>47</v>
      </c>
      <c r="E54" s="19">
        <v>3</v>
      </c>
      <c r="F54" s="19" t="s">
        <v>35</v>
      </c>
    </row>
    <row r="55" spans="1:6" ht="22.5" customHeight="1" x14ac:dyDescent="0.25">
      <c r="A55" s="21"/>
      <c r="B55" s="19" t="s">
        <v>36</v>
      </c>
      <c r="C55" s="19">
        <v>1</v>
      </c>
      <c r="D55" s="19">
        <v>113</v>
      </c>
      <c r="E55" s="19">
        <v>3</v>
      </c>
      <c r="F55" s="19" t="s">
        <v>35</v>
      </c>
    </row>
    <row r="56" spans="1:6" ht="22.5" customHeight="1" x14ac:dyDescent="0.25">
      <c r="A56" s="21"/>
      <c r="B56" s="19" t="s">
        <v>39</v>
      </c>
      <c r="C56" s="19">
        <v>1</v>
      </c>
      <c r="D56" s="19">
        <v>68</v>
      </c>
      <c r="E56" s="19">
        <v>4</v>
      </c>
      <c r="F56" s="19" t="s">
        <v>35</v>
      </c>
    </row>
    <row r="57" spans="1:6" ht="22.5" customHeight="1" x14ac:dyDescent="0.25">
      <c r="A57" s="18" t="s">
        <v>92</v>
      </c>
      <c r="B57" s="19" t="s">
        <v>17</v>
      </c>
      <c r="C57" s="19">
        <v>2</v>
      </c>
      <c r="D57" s="19">
        <v>160</v>
      </c>
      <c r="E57" s="19">
        <v>3</v>
      </c>
      <c r="F57" s="19" t="s">
        <v>35</v>
      </c>
    </row>
    <row r="58" spans="1:6" ht="22.5" customHeight="1" x14ac:dyDescent="0.25">
      <c r="A58" s="21"/>
      <c r="B58" s="19" t="s">
        <v>26</v>
      </c>
      <c r="C58" s="19">
        <v>2</v>
      </c>
      <c r="D58" s="19">
        <v>248</v>
      </c>
      <c r="E58" s="19">
        <v>4</v>
      </c>
      <c r="F58" s="19" t="s">
        <v>35</v>
      </c>
    </row>
    <row r="59" spans="1:6" ht="22.5" customHeight="1" x14ac:dyDescent="0.25">
      <c r="A59" s="21"/>
      <c r="B59" s="19" t="s">
        <v>32</v>
      </c>
      <c r="C59" s="19">
        <v>1</v>
      </c>
      <c r="D59" s="19">
        <v>184</v>
      </c>
      <c r="E59" s="19">
        <v>2</v>
      </c>
      <c r="F59" s="19" t="s">
        <v>35</v>
      </c>
    </row>
    <row r="60" spans="1:6" ht="22.5" customHeight="1" x14ac:dyDescent="0.25">
      <c r="A60" s="21"/>
      <c r="B60" s="19" t="s">
        <v>42</v>
      </c>
      <c r="C60" s="19">
        <v>1</v>
      </c>
      <c r="D60" s="19">
        <v>90</v>
      </c>
      <c r="E60" s="19">
        <v>1</v>
      </c>
      <c r="F60" s="19" t="s">
        <v>34</v>
      </c>
    </row>
    <row r="61" spans="1:6" ht="22.5" customHeight="1" x14ac:dyDescent="0.25">
      <c r="A61" s="21"/>
      <c r="B61" s="19" t="s">
        <v>44</v>
      </c>
      <c r="C61" s="19">
        <v>1</v>
      </c>
      <c r="D61" s="19">
        <v>199</v>
      </c>
      <c r="E61" s="19">
        <v>3</v>
      </c>
      <c r="F61" s="19" t="s">
        <v>36</v>
      </c>
    </row>
    <row r="62" spans="1:6" ht="22.5" customHeight="1" x14ac:dyDescent="0.25">
      <c r="A62" s="21"/>
      <c r="B62" s="19" t="s">
        <v>45</v>
      </c>
      <c r="C62" s="19">
        <v>2</v>
      </c>
      <c r="D62" s="19">
        <v>177</v>
      </c>
      <c r="E62" s="19">
        <v>2</v>
      </c>
      <c r="F62" s="19" t="s">
        <v>39</v>
      </c>
    </row>
    <row r="63" spans="1:6" ht="22.5" customHeight="1" x14ac:dyDescent="0.25">
      <c r="A63" s="18" t="s">
        <v>105</v>
      </c>
      <c r="B63" s="19" t="s">
        <v>16</v>
      </c>
      <c r="C63" s="19">
        <v>2</v>
      </c>
      <c r="D63" s="19">
        <v>214</v>
      </c>
      <c r="E63" s="19">
        <v>4</v>
      </c>
      <c r="F63" s="19" t="s">
        <v>16</v>
      </c>
    </row>
    <row r="64" spans="1:6" ht="22.5" customHeight="1" x14ac:dyDescent="0.25">
      <c r="A64" s="21"/>
      <c r="B64" s="19" t="s">
        <v>24</v>
      </c>
      <c r="C64" s="19">
        <v>1</v>
      </c>
      <c r="D64" s="19">
        <v>112</v>
      </c>
      <c r="E64" s="19">
        <v>2</v>
      </c>
      <c r="F64" s="19" t="s">
        <v>24</v>
      </c>
    </row>
    <row r="65" spans="1:6" ht="22.5" customHeight="1" x14ac:dyDescent="0.25">
      <c r="A65" s="21"/>
      <c r="B65" s="19" t="s">
        <v>27</v>
      </c>
      <c r="C65" s="19">
        <v>1</v>
      </c>
      <c r="D65" s="19">
        <v>35</v>
      </c>
      <c r="E65" s="19">
        <v>2</v>
      </c>
      <c r="F65" s="19" t="s">
        <v>27</v>
      </c>
    </row>
    <row r="66" spans="1:6" ht="22.5" customHeight="1" x14ac:dyDescent="0.25">
      <c r="A66" s="21"/>
      <c r="B66" s="19" t="s">
        <v>34</v>
      </c>
      <c r="C66" s="19">
        <v>1</v>
      </c>
      <c r="D66" s="19">
        <v>33</v>
      </c>
      <c r="E66" s="19">
        <v>1</v>
      </c>
      <c r="F66" s="19" t="s">
        <v>35</v>
      </c>
    </row>
    <row r="67" spans="1:6" ht="22.5" customHeight="1" x14ac:dyDescent="0.25">
      <c r="A67" s="21"/>
      <c r="B67" s="19" t="s">
        <v>36</v>
      </c>
      <c r="C67" s="19">
        <v>1</v>
      </c>
      <c r="D67" s="19">
        <v>104</v>
      </c>
      <c r="E67" s="19">
        <v>4</v>
      </c>
      <c r="F67" s="19" t="s">
        <v>35</v>
      </c>
    </row>
    <row r="68" spans="1:6" ht="22.5" customHeight="1" x14ac:dyDescent="0.25">
      <c r="A68" s="21"/>
      <c r="B68" s="19" t="s">
        <v>39</v>
      </c>
      <c r="C68" s="19">
        <v>1</v>
      </c>
      <c r="D68" s="19">
        <v>37</v>
      </c>
      <c r="E68" s="19">
        <v>3</v>
      </c>
      <c r="F68" s="19" t="s">
        <v>35</v>
      </c>
    </row>
    <row r="69" spans="1:6" ht="22.5" customHeight="1" x14ac:dyDescent="0.25">
      <c r="A69" s="18" t="s">
        <v>110</v>
      </c>
      <c r="B69" s="19" t="s">
        <v>17</v>
      </c>
      <c r="C69" s="19">
        <v>1</v>
      </c>
      <c r="D69" s="19">
        <v>67</v>
      </c>
      <c r="E69" s="19">
        <v>1</v>
      </c>
      <c r="F69" s="19" t="s">
        <v>35</v>
      </c>
    </row>
    <row r="70" spans="1:6" ht="22.5" customHeight="1" x14ac:dyDescent="0.25">
      <c r="A70" s="21"/>
      <c r="B70" s="19" t="s">
        <v>26</v>
      </c>
      <c r="C70" s="19">
        <v>1</v>
      </c>
      <c r="D70" s="19">
        <v>22</v>
      </c>
      <c r="E70" s="19">
        <v>2</v>
      </c>
      <c r="F70" s="19" t="s">
        <v>35</v>
      </c>
    </row>
    <row r="71" spans="1:6" ht="22.5" customHeight="1" x14ac:dyDescent="0.25">
      <c r="A71" s="21"/>
      <c r="B71" s="19" t="s">
        <v>32</v>
      </c>
      <c r="C71" s="19">
        <v>1</v>
      </c>
      <c r="D71" s="19">
        <v>12</v>
      </c>
      <c r="E71" s="19">
        <v>1</v>
      </c>
      <c r="F71" s="19" t="s">
        <v>35</v>
      </c>
    </row>
    <row r="72" spans="1:6" ht="22.5" customHeight="1" x14ac:dyDescent="0.25">
      <c r="A72" s="21"/>
      <c r="B72" s="19" t="s">
        <v>42</v>
      </c>
      <c r="C72" s="19">
        <v>1</v>
      </c>
      <c r="D72" s="19">
        <v>15</v>
      </c>
      <c r="E72" s="19">
        <v>1</v>
      </c>
      <c r="F72" s="19" t="s">
        <v>34</v>
      </c>
    </row>
    <row r="73" spans="1:6" ht="22.5" customHeight="1" x14ac:dyDescent="0.25">
      <c r="A73" s="21"/>
      <c r="B73" s="19" t="s">
        <v>44</v>
      </c>
      <c r="C73" s="19">
        <v>2</v>
      </c>
      <c r="D73" s="19">
        <v>60</v>
      </c>
      <c r="E73" s="19">
        <v>3</v>
      </c>
      <c r="F73" s="19" t="s">
        <v>36</v>
      </c>
    </row>
    <row r="74" spans="1:6" ht="22.5" customHeight="1" x14ac:dyDescent="0.25">
      <c r="A74" s="21"/>
      <c r="B74" s="19" t="s">
        <v>45</v>
      </c>
      <c r="C74" s="19">
        <v>1</v>
      </c>
      <c r="D74" s="19">
        <v>25</v>
      </c>
      <c r="E74" s="19">
        <v>3</v>
      </c>
      <c r="F74" s="19" t="s">
        <v>39</v>
      </c>
    </row>
    <row r="75" spans="1:6" ht="22.5" customHeight="1" x14ac:dyDescent="0.25">
      <c r="A75" s="18" t="s">
        <v>116</v>
      </c>
      <c r="B75" s="19" t="s">
        <v>16</v>
      </c>
      <c r="C75" s="19">
        <v>1</v>
      </c>
      <c r="D75" s="19">
        <v>107</v>
      </c>
      <c r="E75" s="19">
        <v>2</v>
      </c>
      <c r="F75" s="19" t="s">
        <v>17</v>
      </c>
    </row>
    <row r="76" spans="1:6" ht="22.5" customHeight="1" x14ac:dyDescent="0.25">
      <c r="A76" s="21"/>
      <c r="B76" s="19" t="s">
        <v>24</v>
      </c>
      <c r="C76" s="19">
        <v>1</v>
      </c>
      <c r="D76" s="19">
        <v>55</v>
      </c>
      <c r="E76" s="19">
        <v>1</v>
      </c>
      <c r="F76" s="19" t="s">
        <v>24</v>
      </c>
    </row>
    <row r="77" spans="1:6" ht="22.5" customHeight="1" x14ac:dyDescent="0.25">
      <c r="A77" s="21"/>
      <c r="B77" s="19" t="s">
        <v>27</v>
      </c>
      <c r="C77" s="19">
        <v>1</v>
      </c>
      <c r="D77" s="19">
        <v>30</v>
      </c>
      <c r="E77" s="19">
        <v>1</v>
      </c>
      <c r="F77" s="19" t="s">
        <v>27</v>
      </c>
    </row>
    <row r="78" spans="1:6" ht="22.5" customHeight="1" x14ac:dyDescent="0.25">
      <c r="A78" s="21"/>
      <c r="B78" s="19" t="s">
        <v>34</v>
      </c>
      <c r="C78" s="19">
        <v>1</v>
      </c>
      <c r="D78" s="19">
        <v>19</v>
      </c>
      <c r="E78" s="19">
        <v>1</v>
      </c>
      <c r="F78" s="19" t="s">
        <v>35</v>
      </c>
    </row>
    <row r="79" spans="1:6" ht="22.5" customHeight="1" x14ac:dyDescent="0.25">
      <c r="A79" s="21"/>
      <c r="B79" s="19" t="s">
        <v>36</v>
      </c>
      <c r="C79" s="19">
        <v>1</v>
      </c>
      <c r="D79" s="19">
        <v>66</v>
      </c>
      <c r="E79" s="19">
        <v>2</v>
      </c>
      <c r="F79" s="19" t="s">
        <v>35</v>
      </c>
    </row>
    <row r="80" spans="1:6" ht="22.5" customHeight="1" x14ac:dyDescent="0.25">
      <c r="A80" s="21"/>
      <c r="B80" s="19" t="s">
        <v>39</v>
      </c>
      <c r="C80" s="19">
        <v>1</v>
      </c>
      <c r="D80" s="19">
        <v>46</v>
      </c>
      <c r="E80" s="19">
        <v>2</v>
      </c>
      <c r="F80" s="19" t="s">
        <v>35</v>
      </c>
    </row>
    <row r="81" spans="1:6" ht="22.5" customHeight="1" x14ac:dyDescent="0.25">
      <c r="A81" s="18" t="s">
        <v>125</v>
      </c>
      <c r="B81" s="19" t="s">
        <v>17</v>
      </c>
      <c r="C81" s="19">
        <v>1</v>
      </c>
      <c r="D81" s="19">
        <v>39</v>
      </c>
      <c r="E81" s="19">
        <v>1</v>
      </c>
      <c r="F81" s="19" t="s">
        <v>35</v>
      </c>
    </row>
    <row r="82" spans="1:6" ht="22.5" customHeight="1" x14ac:dyDescent="0.25">
      <c r="A82" s="21"/>
      <c r="B82" s="19" t="s">
        <v>26</v>
      </c>
      <c r="C82" s="19">
        <v>3</v>
      </c>
      <c r="D82" s="19">
        <v>114</v>
      </c>
      <c r="E82" s="19">
        <v>3</v>
      </c>
      <c r="F82" s="19" t="s">
        <v>35</v>
      </c>
    </row>
    <row r="83" spans="1:6" ht="22.5" customHeight="1" x14ac:dyDescent="0.25">
      <c r="A83" s="21"/>
      <c r="B83" s="19" t="s">
        <v>32</v>
      </c>
      <c r="C83" s="19">
        <v>1</v>
      </c>
      <c r="D83" s="19">
        <v>16</v>
      </c>
      <c r="E83" s="19">
        <v>3</v>
      </c>
      <c r="F83" s="19" t="s">
        <v>35</v>
      </c>
    </row>
    <row r="84" spans="1:6" ht="22.5" customHeight="1" x14ac:dyDescent="0.25">
      <c r="A84" s="21"/>
      <c r="B84" s="19" t="s">
        <v>42</v>
      </c>
      <c r="C84" s="19">
        <v>1</v>
      </c>
      <c r="D84" s="19">
        <v>12</v>
      </c>
      <c r="E84" s="19">
        <v>1</v>
      </c>
      <c r="F84" s="19" t="s">
        <v>34</v>
      </c>
    </row>
    <row r="85" spans="1:6" ht="22.5" customHeight="1" x14ac:dyDescent="0.25">
      <c r="A85" s="21"/>
      <c r="B85" s="19" t="s">
        <v>44</v>
      </c>
      <c r="C85" s="19">
        <v>1</v>
      </c>
      <c r="D85" s="19">
        <v>41</v>
      </c>
      <c r="E85" s="19">
        <v>1</v>
      </c>
      <c r="F85" s="19" t="s">
        <v>36</v>
      </c>
    </row>
    <row r="86" spans="1:6" ht="22.5" customHeight="1" x14ac:dyDescent="0.25">
      <c r="A86" s="21"/>
      <c r="B86" s="19" t="s">
        <v>45</v>
      </c>
      <c r="C86" s="19">
        <v>1</v>
      </c>
      <c r="D86" s="19">
        <v>9</v>
      </c>
      <c r="E86" s="19">
        <v>1</v>
      </c>
      <c r="F86" s="19" t="s">
        <v>39</v>
      </c>
    </row>
    <row r="87" spans="1:6" ht="22.5" customHeight="1" x14ac:dyDescent="0.25">
      <c r="A87" s="18" t="s">
        <v>131</v>
      </c>
      <c r="B87" s="19" t="s">
        <v>16</v>
      </c>
      <c r="C87" s="19">
        <v>1</v>
      </c>
      <c r="D87" s="19">
        <v>137</v>
      </c>
      <c r="E87" s="19">
        <v>1</v>
      </c>
      <c r="F87" s="19" t="s">
        <v>17</v>
      </c>
    </row>
    <row r="88" spans="1:6" ht="22.5" customHeight="1" x14ac:dyDescent="0.25">
      <c r="A88" s="21"/>
      <c r="B88" s="19" t="s">
        <v>24</v>
      </c>
      <c r="C88" s="19">
        <v>1</v>
      </c>
      <c r="D88" s="19">
        <v>89</v>
      </c>
      <c r="E88" s="19">
        <v>2</v>
      </c>
      <c r="F88" s="19" t="s">
        <v>24</v>
      </c>
    </row>
    <row r="89" spans="1:6" ht="22.5" customHeight="1" x14ac:dyDescent="0.25">
      <c r="A89" s="21"/>
      <c r="B89" s="19" t="s">
        <v>27</v>
      </c>
      <c r="C89" s="19">
        <v>1</v>
      </c>
      <c r="D89" s="19">
        <v>32</v>
      </c>
      <c r="E89" s="19">
        <v>1</v>
      </c>
      <c r="F89" s="19" t="s">
        <v>27</v>
      </c>
    </row>
    <row r="90" spans="1:6" ht="22.5" customHeight="1" x14ac:dyDescent="0.25">
      <c r="A90" s="21"/>
      <c r="B90" s="19" t="s">
        <v>34</v>
      </c>
      <c r="C90" s="19">
        <v>1</v>
      </c>
      <c r="D90" s="19">
        <v>78</v>
      </c>
      <c r="E90" s="19">
        <v>2</v>
      </c>
      <c r="F90" s="19" t="s">
        <v>35</v>
      </c>
    </row>
    <row r="91" spans="1:6" ht="22.5" customHeight="1" x14ac:dyDescent="0.25">
      <c r="A91" s="21"/>
      <c r="B91" s="19" t="s">
        <v>36</v>
      </c>
      <c r="C91" s="19">
        <v>2</v>
      </c>
      <c r="D91" s="19">
        <v>153</v>
      </c>
      <c r="E91" s="19">
        <v>4</v>
      </c>
      <c r="F91" s="19" t="s">
        <v>35</v>
      </c>
    </row>
    <row r="92" spans="1:6" ht="22.5" customHeight="1" x14ac:dyDescent="0.25">
      <c r="A92" s="21"/>
      <c r="B92" s="19" t="s">
        <v>39</v>
      </c>
      <c r="C92" s="19">
        <v>1</v>
      </c>
      <c r="D92" s="19">
        <v>79</v>
      </c>
      <c r="E92" s="19">
        <v>2</v>
      </c>
      <c r="F92" s="19" t="s">
        <v>35</v>
      </c>
    </row>
    <row r="93" spans="1:6" ht="22.5" customHeight="1" x14ac:dyDescent="0.25">
      <c r="A93" s="18" t="s">
        <v>135</v>
      </c>
      <c r="B93" s="19" t="s">
        <v>17</v>
      </c>
      <c r="C93" s="19">
        <v>1</v>
      </c>
      <c r="D93" s="19">
        <v>169</v>
      </c>
      <c r="E93" s="19">
        <v>1</v>
      </c>
      <c r="F93" s="19" t="s">
        <v>35</v>
      </c>
    </row>
    <row r="94" spans="1:6" ht="22.5" customHeight="1" x14ac:dyDescent="0.25">
      <c r="A94" s="21"/>
      <c r="B94" s="19" t="s">
        <v>26</v>
      </c>
      <c r="C94" s="19">
        <v>1</v>
      </c>
      <c r="D94" s="19">
        <v>70</v>
      </c>
      <c r="E94" s="19">
        <v>1</v>
      </c>
      <c r="F94" s="19" t="s">
        <v>35</v>
      </c>
    </row>
    <row r="95" spans="1:6" ht="22.5" customHeight="1" x14ac:dyDescent="0.25">
      <c r="A95" s="21"/>
      <c r="B95" s="19" t="s">
        <v>32</v>
      </c>
      <c r="C95" s="19">
        <v>1</v>
      </c>
      <c r="D95" s="19">
        <v>48</v>
      </c>
      <c r="E95" s="19">
        <v>2</v>
      </c>
      <c r="F95" s="19" t="s">
        <v>35</v>
      </c>
    </row>
    <row r="96" spans="1:6" ht="22.5" customHeight="1" x14ac:dyDescent="0.25">
      <c r="A96" s="21"/>
      <c r="B96" s="19" t="s">
        <v>42</v>
      </c>
      <c r="C96" s="19">
        <v>1</v>
      </c>
      <c r="D96" s="19">
        <v>78</v>
      </c>
      <c r="E96" s="19">
        <v>2</v>
      </c>
      <c r="F96" s="19" t="s">
        <v>42</v>
      </c>
    </row>
    <row r="97" spans="1:6" ht="22.5" customHeight="1" x14ac:dyDescent="0.25">
      <c r="A97" s="21"/>
      <c r="B97" s="19" t="s">
        <v>44</v>
      </c>
      <c r="C97" s="19">
        <v>2</v>
      </c>
      <c r="D97" s="19">
        <v>346</v>
      </c>
      <c r="E97" s="19">
        <v>4</v>
      </c>
      <c r="F97" s="19" t="s">
        <v>44</v>
      </c>
    </row>
    <row r="98" spans="1:6" ht="22.5" customHeight="1" x14ac:dyDescent="0.25">
      <c r="A98" s="21"/>
      <c r="B98" s="19" t="s">
        <v>45</v>
      </c>
      <c r="C98" s="19">
        <v>1</v>
      </c>
      <c r="D98" s="19">
        <v>78</v>
      </c>
      <c r="E98" s="19">
        <v>4</v>
      </c>
      <c r="F98" s="19" t="s">
        <v>39</v>
      </c>
    </row>
    <row r="99" spans="1:6" ht="22.5" customHeight="1" x14ac:dyDescent="0.25">
      <c r="A99" s="18" t="s">
        <v>140</v>
      </c>
      <c r="B99" s="19" t="s">
        <v>16</v>
      </c>
      <c r="C99" s="19">
        <v>2</v>
      </c>
      <c r="D99" s="19">
        <v>188</v>
      </c>
      <c r="E99" s="19">
        <v>3</v>
      </c>
      <c r="F99" s="19" t="s">
        <v>16</v>
      </c>
    </row>
    <row r="100" spans="1:6" ht="22.5" customHeight="1" x14ac:dyDescent="0.25">
      <c r="A100" s="21"/>
      <c r="B100" s="19" t="s">
        <v>24</v>
      </c>
      <c r="C100" s="19">
        <v>1</v>
      </c>
      <c r="D100" s="19">
        <v>89</v>
      </c>
      <c r="E100" s="19">
        <v>2</v>
      </c>
      <c r="F100" s="19" t="s">
        <v>26</v>
      </c>
    </row>
    <row r="101" spans="1:6" ht="22.5" customHeight="1" x14ac:dyDescent="0.25">
      <c r="A101" s="21"/>
      <c r="B101" s="19" t="s">
        <v>27</v>
      </c>
      <c r="C101" s="19">
        <v>1</v>
      </c>
      <c r="D101" s="19">
        <v>28</v>
      </c>
      <c r="E101" s="19">
        <v>1</v>
      </c>
      <c r="F101" s="19" t="s">
        <v>32</v>
      </c>
    </row>
    <row r="102" spans="1:6" ht="22.5" customHeight="1" x14ac:dyDescent="0.25">
      <c r="A102" s="21"/>
      <c r="B102" s="19" t="s">
        <v>34</v>
      </c>
      <c r="C102" s="19">
        <v>1</v>
      </c>
      <c r="D102" s="19">
        <v>21</v>
      </c>
      <c r="E102" s="19">
        <v>1</v>
      </c>
      <c r="F102" s="19" t="s">
        <v>35</v>
      </c>
    </row>
    <row r="103" spans="1:6" ht="22.5" customHeight="1" x14ac:dyDescent="0.25">
      <c r="A103" s="21"/>
      <c r="B103" s="19" t="s">
        <v>36</v>
      </c>
      <c r="C103" s="19">
        <v>1</v>
      </c>
      <c r="D103" s="19">
        <v>85</v>
      </c>
      <c r="E103" s="19">
        <v>3</v>
      </c>
      <c r="F103" s="19" t="s">
        <v>35</v>
      </c>
    </row>
    <row r="104" spans="1:6" ht="22.5" customHeight="1" x14ac:dyDescent="0.25">
      <c r="A104" s="21"/>
      <c r="B104" s="19" t="s">
        <v>39</v>
      </c>
      <c r="C104" s="19">
        <v>1</v>
      </c>
      <c r="D104" s="19">
        <v>47</v>
      </c>
      <c r="E104" s="19">
        <v>4</v>
      </c>
      <c r="F104" s="19" t="s">
        <v>35</v>
      </c>
    </row>
    <row r="105" spans="1:6" ht="22.5" customHeight="1" x14ac:dyDescent="0.25">
      <c r="A105" s="18" t="s">
        <v>147</v>
      </c>
      <c r="B105" s="19" t="s">
        <v>17</v>
      </c>
      <c r="C105" s="19">
        <v>1</v>
      </c>
      <c r="D105" s="19">
        <v>96</v>
      </c>
      <c r="E105" s="19">
        <v>4</v>
      </c>
      <c r="F105" s="19" t="s">
        <v>35</v>
      </c>
    </row>
    <row r="106" spans="1:6" ht="22.5" customHeight="1" x14ac:dyDescent="0.25">
      <c r="A106" s="21"/>
      <c r="B106" s="19" t="s">
        <v>26</v>
      </c>
      <c r="C106" s="19">
        <v>1</v>
      </c>
      <c r="D106" s="19">
        <v>100</v>
      </c>
      <c r="E106" s="19">
        <v>3</v>
      </c>
      <c r="F106" s="19" t="s">
        <v>35</v>
      </c>
    </row>
    <row r="107" spans="1:6" ht="22.5" customHeight="1" x14ac:dyDescent="0.25">
      <c r="A107" s="21"/>
      <c r="B107" s="19" t="s">
        <v>32</v>
      </c>
      <c r="C107" s="19">
        <v>1</v>
      </c>
      <c r="D107" s="19">
        <v>50</v>
      </c>
      <c r="E107" s="19">
        <v>1</v>
      </c>
      <c r="F107" s="19" t="s">
        <v>35</v>
      </c>
    </row>
    <row r="108" spans="1:6" ht="22.5" customHeight="1" x14ac:dyDescent="0.25">
      <c r="A108" s="21"/>
      <c r="B108" s="19" t="s">
        <v>42</v>
      </c>
      <c r="C108" s="19">
        <v>1</v>
      </c>
      <c r="D108" s="19">
        <v>59</v>
      </c>
      <c r="E108" s="19">
        <v>4</v>
      </c>
      <c r="F108" s="19" t="s">
        <v>34</v>
      </c>
    </row>
    <row r="109" spans="1:6" ht="22.5" customHeight="1" x14ac:dyDescent="0.25">
      <c r="A109" s="21"/>
      <c r="B109" s="19" t="s">
        <v>44</v>
      </c>
      <c r="C109" s="19">
        <v>2</v>
      </c>
      <c r="D109" s="19">
        <v>168</v>
      </c>
      <c r="E109" s="19">
        <v>3</v>
      </c>
      <c r="F109" s="19" t="s">
        <v>36</v>
      </c>
    </row>
    <row r="110" spans="1:6" ht="22.5" customHeight="1" x14ac:dyDescent="0.25">
      <c r="A110" s="21"/>
      <c r="B110" s="19" t="s">
        <v>45</v>
      </c>
      <c r="C110" s="19">
        <v>1</v>
      </c>
      <c r="D110" s="19">
        <v>61</v>
      </c>
      <c r="E110" s="19">
        <v>4</v>
      </c>
      <c r="F110" s="19" t="s">
        <v>39</v>
      </c>
    </row>
    <row r="111" spans="1:6" ht="22.5" customHeight="1" x14ac:dyDescent="0.25">
      <c r="A111" s="18" t="s">
        <v>156</v>
      </c>
      <c r="B111" s="19" t="s">
        <v>16</v>
      </c>
      <c r="C111" s="19">
        <v>4</v>
      </c>
      <c r="D111" s="19">
        <v>313</v>
      </c>
      <c r="E111" s="19">
        <v>4</v>
      </c>
      <c r="F111" s="19" t="s">
        <v>16</v>
      </c>
    </row>
    <row r="112" spans="1:6" ht="22.5" customHeight="1" x14ac:dyDescent="0.25">
      <c r="A112" s="21"/>
      <c r="B112" s="19" t="s">
        <v>24</v>
      </c>
      <c r="C112" s="19">
        <v>1</v>
      </c>
      <c r="D112" s="19">
        <v>67</v>
      </c>
      <c r="E112" s="19">
        <v>1</v>
      </c>
      <c r="F112" s="19" t="s">
        <v>26</v>
      </c>
    </row>
    <row r="113" spans="1:6" ht="22.5" customHeight="1" x14ac:dyDescent="0.25">
      <c r="A113" s="21"/>
      <c r="B113" s="19" t="s">
        <v>27</v>
      </c>
      <c r="C113" s="19">
        <v>2</v>
      </c>
      <c r="D113" s="19">
        <v>17</v>
      </c>
      <c r="E113" s="19">
        <v>1</v>
      </c>
      <c r="F113" s="19" t="s">
        <v>27</v>
      </c>
    </row>
    <row r="114" spans="1:6" ht="22.5" customHeight="1" x14ac:dyDescent="0.25">
      <c r="A114" s="21"/>
      <c r="B114" s="19" t="s">
        <v>34</v>
      </c>
      <c r="C114" s="19">
        <v>1</v>
      </c>
      <c r="D114" s="19">
        <v>71</v>
      </c>
      <c r="E114" s="19">
        <v>2</v>
      </c>
      <c r="F114" s="19" t="s">
        <v>35</v>
      </c>
    </row>
    <row r="115" spans="1:6" ht="22.5" customHeight="1" x14ac:dyDescent="0.25">
      <c r="A115" s="21"/>
      <c r="B115" s="19" t="s">
        <v>36</v>
      </c>
      <c r="C115" s="19">
        <v>1</v>
      </c>
      <c r="D115" s="19">
        <v>243</v>
      </c>
      <c r="E115" s="19">
        <v>3</v>
      </c>
      <c r="F115" s="19" t="s">
        <v>35</v>
      </c>
    </row>
    <row r="116" spans="1:6" ht="22.5" customHeight="1" x14ac:dyDescent="0.25">
      <c r="A116" s="21"/>
      <c r="B116" s="19" t="s">
        <v>39</v>
      </c>
      <c r="C116" s="19">
        <v>1</v>
      </c>
      <c r="D116" s="19">
        <v>40</v>
      </c>
      <c r="E116" s="19">
        <v>2</v>
      </c>
      <c r="F116" s="19" t="s">
        <v>35</v>
      </c>
    </row>
    <row r="117" spans="1:6" ht="22.5" customHeight="1" x14ac:dyDescent="0.25">
      <c r="A117" s="18" t="s">
        <v>161</v>
      </c>
      <c r="B117" s="19" t="s">
        <v>17</v>
      </c>
      <c r="C117" s="19">
        <v>1</v>
      </c>
      <c r="D117" s="19">
        <v>78</v>
      </c>
      <c r="E117" s="19">
        <v>1</v>
      </c>
      <c r="F117" s="19" t="s">
        <v>35</v>
      </c>
    </row>
    <row r="118" spans="1:6" ht="22.5" customHeight="1" x14ac:dyDescent="0.25">
      <c r="A118" s="21"/>
      <c r="B118" s="19" t="s">
        <v>26</v>
      </c>
      <c r="C118" s="19">
        <v>1</v>
      </c>
      <c r="D118" s="19">
        <v>30</v>
      </c>
      <c r="E118" s="19">
        <v>1</v>
      </c>
      <c r="F118" s="19" t="s">
        <v>35</v>
      </c>
    </row>
    <row r="119" spans="1:6" ht="22.5" customHeight="1" x14ac:dyDescent="0.25">
      <c r="A119" s="21"/>
      <c r="B119" s="19" t="s">
        <v>32</v>
      </c>
      <c r="C119" s="19">
        <v>2</v>
      </c>
      <c r="D119" s="19">
        <v>111</v>
      </c>
      <c r="E119" s="19">
        <v>2</v>
      </c>
      <c r="F119" s="19" t="s">
        <v>35</v>
      </c>
    </row>
    <row r="120" spans="1:6" ht="22.5" customHeight="1" x14ac:dyDescent="0.25">
      <c r="A120" s="21"/>
      <c r="B120" s="19" t="s">
        <v>42</v>
      </c>
      <c r="C120" s="19">
        <v>1</v>
      </c>
      <c r="D120" s="19">
        <v>24</v>
      </c>
      <c r="E120" s="19">
        <v>1</v>
      </c>
      <c r="F120" s="19" t="s">
        <v>34</v>
      </c>
    </row>
    <row r="121" spans="1:6" ht="22.5" customHeight="1" x14ac:dyDescent="0.25">
      <c r="A121" s="21"/>
      <c r="B121" s="19" t="s">
        <v>44</v>
      </c>
      <c r="C121" s="19">
        <v>4</v>
      </c>
      <c r="D121" s="19">
        <v>199</v>
      </c>
      <c r="E121" s="19">
        <v>4</v>
      </c>
      <c r="F121" s="19" t="s">
        <v>36</v>
      </c>
    </row>
    <row r="122" spans="1:6" ht="22.5" customHeight="1" x14ac:dyDescent="0.25">
      <c r="A122" s="21"/>
      <c r="B122" s="19" t="s">
        <v>45</v>
      </c>
      <c r="C122" s="19">
        <v>1</v>
      </c>
      <c r="D122" s="19">
        <v>23</v>
      </c>
      <c r="E122" s="19">
        <v>1</v>
      </c>
      <c r="F122" s="19" t="s">
        <v>39</v>
      </c>
    </row>
    <row r="123" spans="1:6" ht="22.5" customHeight="1" x14ac:dyDescent="0.25">
      <c r="A123" s="18" t="s">
        <v>174</v>
      </c>
      <c r="B123" s="19" t="s">
        <v>16</v>
      </c>
      <c r="C123" s="19">
        <v>1</v>
      </c>
      <c r="D123" s="19">
        <v>115</v>
      </c>
      <c r="E123" s="19">
        <v>1</v>
      </c>
      <c r="F123" s="19" t="s">
        <v>16</v>
      </c>
    </row>
    <row r="124" spans="1:6" ht="22.5" customHeight="1" x14ac:dyDescent="0.25">
      <c r="A124" s="21"/>
      <c r="B124" s="19" t="s">
        <v>24</v>
      </c>
      <c r="C124" s="19">
        <v>1</v>
      </c>
      <c r="D124" s="19">
        <v>64</v>
      </c>
      <c r="E124" s="19">
        <v>3</v>
      </c>
      <c r="F124" s="19" t="s">
        <v>26</v>
      </c>
    </row>
    <row r="125" spans="1:6" ht="22.5" customHeight="1" x14ac:dyDescent="0.25">
      <c r="A125" s="21"/>
      <c r="B125" s="19" t="s">
        <v>27</v>
      </c>
      <c r="C125" s="19">
        <v>1</v>
      </c>
      <c r="D125" s="19">
        <v>41</v>
      </c>
      <c r="E125" s="19">
        <v>1</v>
      </c>
      <c r="F125" s="19" t="s">
        <v>32</v>
      </c>
    </row>
    <row r="126" spans="1:6" ht="22.5" customHeight="1" x14ac:dyDescent="0.25">
      <c r="A126" s="21"/>
      <c r="B126" s="19" t="s">
        <v>34</v>
      </c>
      <c r="C126" s="19">
        <v>1</v>
      </c>
      <c r="D126" s="19">
        <v>22</v>
      </c>
      <c r="E126" s="19">
        <v>1</v>
      </c>
      <c r="F126" s="19" t="s">
        <v>35</v>
      </c>
    </row>
    <row r="127" spans="1:6" ht="22.5" customHeight="1" x14ac:dyDescent="0.25">
      <c r="A127" s="21"/>
      <c r="B127" s="19" t="s">
        <v>36</v>
      </c>
      <c r="C127" s="19">
        <v>1</v>
      </c>
      <c r="D127" s="19">
        <v>74</v>
      </c>
      <c r="E127" s="19">
        <v>4</v>
      </c>
      <c r="F127" s="19" t="s">
        <v>35</v>
      </c>
    </row>
    <row r="128" spans="1:6" ht="22.5" customHeight="1" x14ac:dyDescent="0.25">
      <c r="A128" s="21"/>
      <c r="B128" s="19" t="s">
        <v>39</v>
      </c>
      <c r="C128" s="19">
        <v>1</v>
      </c>
      <c r="D128" s="19">
        <v>51</v>
      </c>
      <c r="E128" s="19">
        <v>5</v>
      </c>
      <c r="F128" s="19" t="s">
        <v>35</v>
      </c>
    </row>
    <row r="129" spans="1:6" ht="22.5" customHeight="1" x14ac:dyDescent="0.25">
      <c r="A129" s="18" t="s">
        <v>179</v>
      </c>
      <c r="B129" s="19" t="s">
        <v>17</v>
      </c>
      <c r="C129" s="19">
        <v>1</v>
      </c>
      <c r="D129" s="19">
        <v>45</v>
      </c>
      <c r="E129" s="19">
        <v>1</v>
      </c>
      <c r="F129" s="19" t="s">
        <v>35</v>
      </c>
    </row>
    <row r="130" spans="1:6" ht="22.5" customHeight="1" x14ac:dyDescent="0.25">
      <c r="A130" s="21"/>
      <c r="B130" s="19" t="s">
        <v>26</v>
      </c>
      <c r="C130" s="19">
        <v>2</v>
      </c>
      <c r="D130" s="19">
        <v>150</v>
      </c>
      <c r="E130" s="19">
        <v>4</v>
      </c>
      <c r="F130" s="19" t="s">
        <v>35</v>
      </c>
    </row>
    <row r="131" spans="1:6" ht="22.5" customHeight="1" x14ac:dyDescent="0.25">
      <c r="A131" s="21"/>
      <c r="B131" s="19" t="s">
        <v>32</v>
      </c>
      <c r="C131" s="19">
        <v>1</v>
      </c>
      <c r="D131" s="19">
        <v>30</v>
      </c>
      <c r="E131" s="19">
        <v>2</v>
      </c>
      <c r="F131" s="19" t="s">
        <v>35</v>
      </c>
    </row>
    <row r="132" spans="1:6" ht="22.5" customHeight="1" x14ac:dyDescent="0.25">
      <c r="A132" s="21"/>
      <c r="B132" s="19" t="s">
        <v>42</v>
      </c>
      <c r="C132" s="19">
        <v>1</v>
      </c>
      <c r="D132" s="19">
        <v>14</v>
      </c>
      <c r="E132" s="19">
        <v>1</v>
      </c>
      <c r="F132" s="19" t="s">
        <v>34</v>
      </c>
    </row>
    <row r="133" spans="1:6" ht="22.5" customHeight="1" x14ac:dyDescent="0.25">
      <c r="A133" s="21"/>
      <c r="B133" s="19" t="s">
        <v>44</v>
      </c>
      <c r="C133" s="19">
        <v>2</v>
      </c>
      <c r="D133" s="19">
        <v>99</v>
      </c>
      <c r="E133" s="19">
        <v>3</v>
      </c>
      <c r="F133" s="19" t="s">
        <v>36</v>
      </c>
    </row>
    <row r="134" spans="1:6" ht="22.5" customHeight="1" x14ac:dyDescent="0.25">
      <c r="A134" s="21"/>
      <c r="B134" s="19" t="s">
        <v>45</v>
      </c>
      <c r="C134" s="19">
        <v>1</v>
      </c>
      <c r="D134" s="19">
        <v>18</v>
      </c>
      <c r="E134" s="19">
        <v>1</v>
      </c>
      <c r="F134" s="19" t="s">
        <v>45</v>
      </c>
    </row>
    <row r="135" spans="1:6" ht="22.5" customHeight="1" x14ac:dyDescent="0.25">
      <c r="A135" s="18" t="s">
        <v>184</v>
      </c>
      <c r="B135" s="19" t="s">
        <v>16</v>
      </c>
      <c r="C135" s="19">
        <v>1</v>
      </c>
      <c r="D135" s="19">
        <v>97</v>
      </c>
      <c r="E135" s="19">
        <v>4</v>
      </c>
      <c r="F135" s="19" t="s">
        <v>17</v>
      </c>
    </row>
    <row r="136" spans="1:6" ht="22.5" customHeight="1" x14ac:dyDescent="0.25">
      <c r="A136" s="21"/>
      <c r="B136" s="19" t="s">
        <v>24</v>
      </c>
      <c r="C136" s="19">
        <v>1</v>
      </c>
      <c r="D136" s="19">
        <v>112</v>
      </c>
      <c r="E136" s="19">
        <v>2</v>
      </c>
      <c r="F136" s="19" t="s">
        <v>24</v>
      </c>
    </row>
    <row r="137" spans="1:6" ht="22.5" customHeight="1" x14ac:dyDescent="0.25">
      <c r="A137" s="21"/>
      <c r="B137" s="19" t="s">
        <v>27</v>
      </c>
      <c r="C137" s="19">
        <v>1</v>
      </c>
      <c r="D137" s="19">
        <v>56</v>
      </c>
      <c r="E137" s="19">
        <v>1</v>
      </c>
      <c r="F137" s="19" t="s">
        <v>27</v>
      </c>
    </row>
    <row r="138" spans="1:6" ht="22.5" customHeight="1" x14ac:dyDescent="0.25">
      <c r="A138" s="21"/>
      <c r="B138" s="19" t="s">
        <v>34</v>
      </c>
      <c r="C138" s="19">
        <v>1</v>
      </c>
      <c r="D138" s="19">
        <v>41</v>
      </c>
      <c r="E138" s="19">
        <v>2</v>
      </c>
      <c r="F138" s="19" t="s">
        <v>35</v>
      </c>
    </row>
    <row r="139" spans="1:6" ht="22.5" customHeight="1" x14ac:dyDescent="0.25">
      <c r="A139" s="21"/>
      <c r="B139" s="19" t="s">
        <v>36</v>
      </c>
      <c r="C139" s="19">
        <v>1</v>
      </c>
      <c r="D139" s="19">
        <v>97</v>
      </c>
      <c r="E139" s="19">
        <v>4</v>
      </c>
      <c r="F139" s="19" t="s">
        <v>35</v>
      </c>
    </row>
    <row r="140" spans="1:6" ht="22.5" customHeight="1" x14ac:dyDescent="0.25">
      <c r="A140" s="21"/>
      <c r="B140" s="19" t="s">
        <v>39</v>
      </c>
      <c r="C140" s="19">
        <v>1</v>
      </c>
      <c r="D140" s="19">
        <v>64</v>
      </c>
      <c r="E140" s="19">
        <v>4</v>
      </c>
      <c r="F140" s="19" t="s">
        <v>35</v>
      </c>
    </row>
    <row r="141" spans="1:6" ht="22.5" customHeight="1" x14ac:dyDescent="0.25">
      <c r="A141" s="18" t="s">
        <v>192</v>
      </c>
      <c r="B141" s="19" t="s">
        <v>17</v>
      </c>
      <c r="C141" s="19">
        <v>1</v>
      </c>
      <c r="D141" s="19">
        <v>91</v>
      </c>
      <c r="E141" s="19">
        <v>1</v>
      </c>
      <c r="F141" s="19" t="s">
        <v>35</v>
      </c>
    </row>
    <row r="142" spans="1:6" ht="22.5" customHeight="1" x14ac:dyDescent="0.25">
      <c r="A142" s="21"/>
      <c r="B142" s="19" t="s">
        <v>26</v>
      </c>
      <c r="C142" s="19">
        <v>1</v>
      </c>
      <c r="D142" s="19">
        <v>143</v>
      </c>
      <c r="E142" s="19">
        <v>1</v>
      </c>
      <c r="F142" s="19" t="s">
        <v>35</v>
      </c>
    </row>
    <row r="143" spans="1:6" ht="22.5" customHeight="1" x14ac:dyDescent="0.25">
      <c r="A143" s="21"/>
      <c r="B143" s="19" t="s">
        <v>32</v>
      </c>
      <c r="C143" s="19">
        <v>1</v>
      </c>
      <c r="D143" s="19">
        <v>55</v>
      </c>
      <c r="E143" s="19">
        <v>1</v>
      </c>
      <c r="F143" s="19" t="s">
        <v>35</v>
      </c>
    </row>
    <row r="144" spans="1:6" ht="22.5" customHeight="1" x14ac:dyDescent="0.25">
      <c r="A144" s="21"/>
      <c r="B144" s="19" t="s">
        <v>42</v>
      </c>
      <c r="C144" s="19">
        <v>1</v>
      </c>
      <c r="D144" s="19">
        <v>49</v>
      </c>
      <c r="E144" s="19">
        <v>3</v>
      </c>
      <c r="F144" s="19" t="s">
        <v>34</v>
      </c>
    </row>
    <row r="145" spans="1:6" ht="22.5" customHeight="1" x14ac:dyDescent="0.25">
      <c r="A145" s="21"/>
      <c r="B145" s="19" t="s">
        <v>44</v>
      </c>
      <c r="C145" s="19">
        <v>2</v>
      </c>
      <c r="D145" s="19">
        <v>348</v>
      </c>
      <c r="E145" s="19">
        <v>3</v>
      </c>
      <c r="F145" s="19" t="s">
        <v>36</v>
      </c>
    </row>
    <row r="146" spans="1:6" ht="22.5" customHeight="1" x14ac:dyDescent="0.25">
      <c r="A146" s="21"/>
      <c r="B146" s="19" t="s">
        <v>45</v>
      </c>
      <c r="C146" s="19">
        <v>1</v>
      </c>
      <c r="D146" s="19">
        <v>196</v>
      </c>
      <c r="E146" s="19">
        <v>4</v>
      </c>
      <c r="F146" s="19" t="s">
        <v>39</v>
      </c>
    </row>
    <row r="147" spans="1:6" ht="22.5" customHeight="1" x14ac:dyDescent="0.25">
      <c r="A147" s="18" t="s">
        <v>214</v>
      </c>
      <c r="B147" s="19" t="s">
        <v>16</v>
      </c>
      <c r="C147" s="19">
        <v>2</v>
      </c>
      <c r="D147" s="19">
        <v>248</v>
      </c>
      <c r="E147" s="19">
        <v>4</v>
      </c>
      <c r="F147" s="19" t="s">
        <v>17</v>
      </c>
    </row>
    <row r="148" spans="1:6" ht="22.5" customHeight="1" x14ac:dyDescent="0.25">
      <c r="A148" s="21"/>
      <c r="B148" s="19" t="s">
        <v>24</v>
      </c>
      <c r="C148" s="19">
        <v>4</v>
      </c>
      <c r="D148" s="19">
        <v>180</v>
      </c>
      <c r="E148" s="19">
        <v>3</v>
      </c>
      <c r="F148" s="19" t="s">
        <v>26</v>
      </c>
    </row>
    <row r="149" spans="1:6" ht="22.5" customHeight="1" x14ac:dyDescent="0.25">
      <c r="A149" s="21"/>
      <c r="B149" s="19" t="s">
        <v>27</v>
      </c>
      <c r="C149" s="19">
        <v>1</v>
      </c>
      <c r="D149" s="19">
        <v>33</v>
      </c>
      <c r="E149" s="19">
        <v>1</v>
      </c>
      <c r="F149" s="19" t="s">
        <v>27</v>
      </c>
    </row>
    <row r="150" spans="1:6" ht="22.5" customHeight="1" x14ac:dyDescent="0.25">
      <c r="A150" s="21"/>
      <c r="B150" s="19" t="s">
        <v>34</v>
      </c>
      <c r="C150" s="19">
        <v>1</v>
      </c>
      <c r="D150" s="19">
        <v>34</v>
      </c>
      <c r="E150" s="19">
        <v>1</v>
      </c>
      <c r="F150" s="19" t="s">
        <v>35</v>
      </c>
    </row>
    <row r="151" spans="1:6" ht="22.5" customHeight="1" x14ac:dyDescent="0.25">
      <c r="A151" s="21"/>
      <c r="B151" s="19" t="s">
        <v>36</v>
      </c>
      <c r="C151" s="19">
        <v>4</v>
      </c>
      <c r="D151" s="19">
        <v>258</v>
      </c>
      <c r="E151" s="19">
        <v>3</v>
      </c>
      <c r="F151" s="19" t="s">
        <v>35</v>
      </c>
    </row>
    <row r="152" spans="1:6" ht="22.5" customHeight="1" x14ac:dyDescent="0.25">
      <c r="A152" s="21"/>
      <c r="B152" s="19" t="s">
        <v>39</v>
      </c>
      <c r="C152" s="19">
        <v>1</v>
      </c>
      <c r="D152" s="19">
        <v>44</v>
      </c>
      <c r="E152" s="19">
        <v>1</v>
      </c>
      <c r="F152" s="19" t="s">
        <v>35</v>
      </c>
    </row>
    <row r="153" spans="1:6" ht="22.5" customHeight="1" x14ac:dyDescent="0.25">
      <c r="A153" s="18" t="s">
        <v>231</v>
      </c>
      <c r="B153" s="19" t="s">
        <v>17</v>
      </c>
      <c r="C153" s="19">
        <v>1</v>
      </c>
      <c r="D153" s="19">
        <v>71</v>
      </c>
      <c r="E153" s="19">
        <v>2</v>
      </c>
      <c r="F153" s="19" t="s">
        <v>35</v>
      </c>
    </row>
    <row r="154" spans="1:6" ht="22.5" customHeight="1" x14ac:dyDescent="0.25">
      <c r="A154" s="21"/>
      <c r="B154" s="19" t="s">
        <v>26</v>
      </c>
      <c r="C154" s="19">
        <v>1</v>
      </c>
      <c r="D154" s="19">
        <v>55</v>
      </c>
      <c r="E154" s="19">
        <v>3</v>
      </c>
      <c r="F154" s="19" t="s">
        <v>35</v>
      </c>
    </row>
    <row r="155" spans="1:6" ht="22.5" customHeight="1" x14ac:dyDescent="0.25">
      <c r="A155" s="21"/>
      <c r="B155" s="19" t="s">
        <v>32</v>
      </c>
      <c r="C155" s="19">
        <v>1</v>
      </c>
      <c r="D155" s="19">
        <v>74</v>
      </c>
      <c r="E155" s="19">
        <v>1</v>
      </c>
      <c r="F155" s="19" t="s">
        <v>35</v>
      </c>
    </row>
    <row r="156" spans="1:6" ht="22.5" customHeight="1" x14ac:dyDescent="0.25">
      <c r="A156" s="21"/>
      <c r="B156" s="19" t="s">
        <v>42</v>
      </c>
      <c r="C156" s="19">
        <v>1</v>
      </c>
      <c r="D156" s="19">
        <v>52</v>
      </c>
      <c r="E156" s="19">
        <v>1</v>
      </c>
      <c r="F156" s="19" t="s">
        <v>34</v>
      </c>
    </row>
    <row r="157" spans="1:6" ht="22.5" customHeight="1" x14ac:dyDescent="0.25">
      <c r="A157" s="21"/>
      <c r="B157" s="19" t="s">
        <v>44</v>
      </c>
      <c r="C157" s="19">
        <v>2</v>
      </c>
      <c r="D157" s="19">
        <v>144</v>
      </c>
      <c r="E157" s="19">
        <v>4</v>
      </c>
      <c r="F157" s="19" t="s">
        <v>36</v>
      </c>
    </row>
    <row r="158" spans="1:6" ht="22.5" customHeight="1" x14ac:dyDescent="0.25">
      <c r="A158" s="21"/>
      <c r="B158" s="19" t="s">
        <v>45</v>
      </c>
      <c r="C158" s="19">
        <v>1</v>
      </c>
      <c r="D158" s="19">
        <v>51</v>
      </c>
      <c r="E158" s="19">
        <v>1</v>
      </c>
      <c r="F158" s="19" t="s">
        <v>45</v>
      </c>
    </row>
    <row r="159" spans="1:6" ht="22.5" customHeight="1" x14ac:dyDescent="0.25">
      <c r="A159" s="18" t="s">
        <v>252</v>
      </c>
      <c r="B159" s="19" t="s">
        <v>16</v>
      </c>
      <c r="C159" s="19">
        <v>1</v>
      </c>
      <c r="D159" s="19">
        <v>81</v>
      </c>
      <c r="E159" s="19">
        <v>2</v>
      </c>
      <c r="F159" s="19" t="s">
        <v>17</v>
      </c>
    </row>
    <row r="160" spans="1:6" ht="22.5" customHeight="1" x14ac:dyDescent="0.25">
      <c r="A160" s="21"/>
      <c r="B160" s="19" t="s">
        <v>24</v>
      </c>
      <c r="C160" s="19">
        <v>2</v>
      </c>
      <c r="D160" s="19">
        <v>141</v>
      </c>
      <c r="E160" s="19">
        <v>3</v>
      </c>
      <c r="F160" s="19" t="s">
        <v>24</v>
      </c>
    </row>
    <row r="161" spans="1:6" ht="22.5" customHeight="1" x14ac:dyDescent="0.25">
      <c r="A161" s="21"/>
      <c r="B161" s="19" t="s">
        <v>27</v>
      </c>
      <c r="C161" s="19">
        <v>1</v>
      </c>
      <c r="D161" s="19">
        <v>21</v>
      </c>
      <c r="E161" s="19">
        <v>1</v>
      </c>
      <c r="F161" s="19" t="s">
        <v>27</v>
      </c>
    </row>
    <row r="162" spans="1:6" ht="22.5" customHeight="1" x14ac:dyDescent="0.25">
      <c r="A162" s="21"/>
      <c r="B162" s="19" t="s">
        <v>34</v>
      </c>
      <c r="C162" s="19">
        <v>1</v>
      </c>
      <c r="D162" s="19">
        <v>17</v>
      </c>
      <c r="E162" s="19">
        <v>1</v>
      </c>
      <c r="F162" s="19" t="s">
        <v>35</v>
      </c>
    </row>
    <row r="163" spans="1:6" ht="22.5" customHeight="1" x14ac:dyDescent="0.25">
      <c r="A163" s="21"/>
      <c r="B163" s="19" t="s">
        <v>36</v>
      </c>
      <c r="C163" s="19">
        <v>1</v>
      </c>
      <c r="D163" s="19">
        <v>57</v>
      </c>
      <c r="E163" s="19">
        <v>2</v>
      </c>
      <c r="F163" s="19" t="s">
        <v>35</v>
      </c>
    </row>
    <row r="164" spans="1:6" ht="22.5" customHeight="1" x14ac:dyDescent="0.25">
      <c r="A164" s="21"/>
      <c r="B164" s="19" t="s">
        <v>39</v>
      </c>
      <c r="C164" s="19">
        <v>1</v>
      </c>
      <c r="D164" s="19">
        <v>13</v>
      </c>
      <c r="E164" s="19">
        <v>1</v>
      </c>
      <c r="F164" s="19" t="s">
        <v>35</v>
      </c>
    </row>
    <row r="165" spans="1:6" ht="22.5" customHeight="1" x14ac:dyDescent="0.25">
      <c r="A165" s="18" t="s">
        <v>256</v>
      </c>
      <c r="B165" s="19" t="s">
        <v>17</v>
      </c>
      <c r="C165" s="19">
        <v>1</v>
      </c>
      <c r="D165" s="19">
        <v>104</v>
      </c>
      <c r="E165" s="19">
        <v>1</v>
      </c>
      <c r="F165" s="19" t="s">
        <v>35</v>
      </c>
    </row>
    <row r="166" spans="1:6" ht="22.5" customHeight="1" x14ac:dyDescent="0.25">
      <c r="A166" s="21"/>
      <c r="B166" s="19" t="s">
        <v>26</v>
      </c>
      <c r="C166" s="19">
        <v>2</v>
      </c>
      <c r="D166" s="19">
        <v>89</v>
      </c>
      <c r="E166" s="19">
        <v>3</v>
      </c>
      <c r="F166" s="19" t="s">
        <v>35</v>
      </c>
    </row>
    <row r="167" spans="1:6" ht="22.5" customHeight="1" x14ac:dyDescent="0.25">
      <c r="A167" s="21"/>
      <c r="B167" s="19" t="s">
        <v>32</v>
      </c>
      <c r="C167" s="19">
        <v>1</v>
      </c>
      <c r="D167" s="19">
        <v>48</v>
      </c>
      <c r="E167" s="19">
        <v>4</v>
      </c>
      <c r="F167" s="19" t="s">
        <v>35</v>
      </c>
    </row>
    <row r="168" spans="1:6" ht="22.5" customHeight="1" x14ac:dyDescent="0.25">
      <c r="A168" s="21"/>
      <c r="B168" s="19" t="s">
        <v>42</v>
      </c>
      <c r="C168" s="19">
        <v>1</v>
      </c>
      <c r="D168" s="19">
        <v>77</v>
      </c>
      <c r="E168" s="19">
        <v>2</v>
      </c>
      <c r="F168" s="19" t="s">
        <v>34</v>
      </c>
    </row>
    <row r="169" spans="1:6" ht="22.5" customHeight="1" x14ac:dyDescent="0.25">
      <c r="A169" s="21"/>
      <c r="B169" s="19" t="s">
        <v>44</v>
      </c>
      <c r="C169" s="19">
        <v>2</v>
      </c>
      <c r="D169" s="19">
        <v>124</v>
      </c>
      <c r="E169" s="19">
        <v>4</v>
      </c>
      <c r="F169" s="19" t="s">
        <v>44</v>
      </c>
    </row>
    <row r="170" spans="1:6" ht="22.5" customHeight="1" x14ac:dyDescent="0.25">
      <c r="A170" s="21"/>
      <c r="B170" s="19" t="s">
        <v>45</v>
      </c>
      <c r="C170" s="19">
        <v>1</v>
      </c>
      <c r="D170" s="19">
        <v>71</v>
      </c>
      <c r="E170" s="19">
        <v>3</v>
      </c>
      <c r="F170" s="19" t="s">
        <v>45</v>
      </c>
    </row>
    <row r="171" spans="1:6" ht="22.5" customHeight="1" x14ac:dyDescent="0.25">
      <c r="A171" s="18" t="s">
        <v>260</v>
      </c>
      <c r="B171" s="19" t="s">
        <v>16</v>
      </c>
      <c r="C171" s="19">
        <v>4</v>
      </c>
      <c r="D171" s="19">
        <v>126</v>
      </c>
      <c r="E171" s="19">
        <v>4</v>
      </c>
      <c r="F171" s="19" t="s">
        <v>17</v>
      </c>
    </row>
    <row r="172" spans="1:6" ht="22.5" customHeight="1" x14ac:dyDescent="0.25">
      <c r="A172" s="21"/>
      <c r="B172" s="19" t="s">
        <v>24</v>
      </c>
      <c r="C172" s="19">
        <v>4</v>
      </c>
      <c r="D172" s="19">
        <v>80</v>
      </c>
      <c r="E172" s="19">
        <v>3</v>
      </c>
      <c r="F172" s="19" t="s">
        <v>26</v>
      </c>
    </row>
    <row r="173" spans="1:6" ht="22.5" customHeight="1" x14ac:dyDescent="0.25">
      <c r="A173" s="21"/>
      <c r="B173" s="19" t="s">
        <v>27</v>
      </c>
      <c r="C173" s="19">
        <v>1</v>
      </c>
      <c r="D173" s="19">
        <v>57</v>
      </c>
      <c r="E173" s="19">
        <v>3</v>
      </c>
      <c r="F173" s="19" t="s">
        <v>32</v>
      </c>
    </row>
    <row r="174" spans="1:6" ht="22.5" customHeight="1" x14ac:dyDescent="0.25">
      <c r="A174" s="21"/>
      <c r="B174" s="19" t="s">
        <v>34</v>
      </c>
      <c r="C174" s="19">
        <v>2</v>
      </c>
      <c r="D174" s="19">
        <v>66</v>
      </c>
      <c r="E174" s="19">
        <v>2</v>
      </c>
      <c r="F174" s="19" t="s">
        <v>35</v>
      </c>
    </row>
    <row r="175" spans="1:6" ht="22.5" customHeight="1" x14ac:dyDescent="0.25">
      <c r="A175" s="21"/>
      <c r="B175" s="19" t="s">
        <v>36</v>
      </c>
      <c r="C175" s="19">
        <v>2</v>
      </c>
      <c r="D175" s="19">
        <v>85</v>
      </c>
      <c r="E175" s="19">
        <v>3</v>
      </c>
      <c r="F175" s="19" t="s">
        <v>35</v>
      </c>
    </row>
    <row r="176" spans="1:6" ht="22.5" customHeight="1" x14ac:dyDescent="0.25">
      <c r="A176" s="21"/>
      <c r="B176" s="19" t="s">
        <v>39</v>
      </c>
      <c r="C176" s="19">
        <v>1</v>
      </c>
      <c r="D176" s="19">
        <v>52</v>
      </c>
      <c r="E176" s="19">
        <v>1</v>
      </c>
      <c r="F176" s="19" t="s">
        <v>35</v>
      </c>
    </row>
    <row r="177" spans="1:6" ht="22.5" customHeight="1" x14ac:dyDescent="0.25">
      <c r="A177" s="18" t="s">
        <v>263</v>
      </c>
      <c r="B177" s="19" t="s">
        <v>17</v>
      </c>
      <c r="C177" s="19">
        <v>1</v>
      </c>
      <c r="D177" s="19">
        <v>41</v>
      </c>
      <c r="E177" s="19">
        <v>2</v>
      </c>
      <c r="F177" s="19" t="s">
        <v>35</v>
      </c>
    </row>
    <row r="178" spans="1:6" ht="22.5" customHeight="1" x14ac:dyDescent="0.25">
      <c r="A178" s="21"/>
      <c r="B178" s="19" t="s">
        <v>26</v>
      </c>
      <c r="C178" s="19">
        <v>1</v>
      </c>
      <c r="D178" s="19">
        <v>65</v>
      </c>
      <c r="E178" s="19">
        <v>3</v>
      </c>
      <c r="F178" s="19" t="s">
        <v>35</v>
      </c>
    </row>
    <row r="179" spans="1:6" ht="22.5" customHeight="1" x14ac:dyDescent="0.25">
      <c r="A179" s="21"/>
      <c r="B179" s="19" t="s">
        <v>32</v>
      </c>
      <c r="C179" s="19">
        <v>1</v>
      </c>
      <c r="D179" s="19">
        <v>69</v>
      </c>
      <c r="E179" s="19">
        <v>3</v>
      </c>
      <c r="F179" s="19" t="s">
        <v>35</v>
      </c>
    </row>
    <row r="180" spans="1:6" ht="22.5" customHeight="1" x14ac:dyDescent="0.25">
      <c r="A180" s="21"/>
      <c r="B180" s="19" t="s">
        <v>42</v>
      </c>
      <c r="C180" s="19">
        <v>1</v>
      </c>
      <c r="D180" s="19">
        <v>71</v>
      </c>
      <c r="E180" s="19">
        <v>2</v>
      </c>
      <c r="F180" s="19" t="s">
        <v>42</v>
      </c>
    </row>
    <row r="181" spans="1:6" ht="22.5" customHeight="1" x14ac:dyDescent="0.25">
      <c r="A181" s="21"/>
      <c r="B181" s="19" t="s">
        <v>44</v>
      </c>
      <c r="C181" s="19">
        <v>1</v>
      </c>
      <c r="D181" s="19">
        <v>58</v>
      </c>
      <c r="E181" s="19">
        <v>1</v>
      </c>
      <c r="F181" s="19" t="s">
        <v>44</v>
      </c>
    </row>
    <row r="182" spans="1:6" ht="22.5" customHeight="1" x14ac:dyDescent="0.25">
      <c r="A182" s="21"/>
      <c r="B182" s="19" t="s">
        <v>45</v>
      </c>
      <c r="C182" s="19">
        <v>1</v>
      </c>
      <c r="D182" s="19">
        <v>28</v>
      </c>
      <c r="E182" s="19">
        <v>1</v>
      </c>
      <c r="F182" s="19" t="s">
        <v>45</v>
      </c>
    </row>
    <row r="183" spans="1:6" ht="22.5" customHeight="1" x14ac:dyDescent="0.25">
      <c r="A183" s="18" t="s">
        <v>273</v>
      </c>
      <c r="B183" s="19" t="s">
        <v>16</v>
      </c>
      <c r="C183" s="19">
        <v>1</v>
      </c>
      <c r="D183" s="19">
        <v>128</v>
      </c>
      <c r="E183" s="19">
        <v>2</v>
      </c>
      <c r="F183" s="19" t="s">
        <v>17</v>
      </c>
    </row>
    <row r="184" spans="1:6" ht="22.5" customHeight="1" x14ac:dyDescent="0.25">
      <c r="A184" s="21"/>
      <c r="B184" s="19" t="s">
        <v>24</v>
      </c>
      <c r="C184" s="19">
        <v>1</v>
      </c>
      <c r="D184" s="19">
        <v>142</v>
      </c>
      <c r="E184" s="19">
        <v>1</v>
      </c>
      <c r="F184" s="19" t="s">
        <v>26</v>
      </c>
    </row>
    <row r="185" spans="1:6" ht="22.5" customHeight="1" x14ac:dyDescent="0.25">
      <c r="A185" s="21"/>
      <c r="B185" s="19" t="s">
        <v>27</v>
      </c>
      <c r="C185" s="19">
        <v>1</v>
      </c>
      <c r="D185" s="19">
        <v>37</v>
      </c>
      <c r="E185" s="19">
        <v>2</v>
      </c>
      <c r="F185" s="19" t="s">
        <v>27</v>
      </c>
    </row>
    <row r="186" spans="1:6" ht="22.5" customHeight="1" x14ac:dyDescent="0.25">
      <c r="A186" s="21"/>
      <c r="B186" s="19" t="s">
        <v>34</v>
      </c>
      <c r="C186" s="19">
        <v>1</v>
      </c>
      <c r="D186" s="19">
        <v>170</v>
      </c>
      <c r="E186" s="19">
        <v>2</v>
      </c>
      <c r="F186" s="19" t="s">
        <v>35</v>
      </c>
    </row>
    <row r="187" spans="1:6" ht="22.5" customHeight="1" x14ac:dyDescent="0.25">
      <c r="A187" s="21"/>
      <c r="B187" s="19" t="s">
        <v>36</v>
      </c>
      <c r="C187" s="19">
        <v>2</v>
      </c>
      <c r="D187" s="19">
        <v>207</v>
      </c>
      <c r="E187" s="19">
        <v>3</v>
      </c>
      <c r="F187" s="19" t="s">
        <v>35</v>
      </c>
    </row>
    <row r="188" spans="1:6" ht="22.5" customHeight="1" x14ac:dyDescent="0.25">
      <c r="A188" s="21"/>
      <c r="B188" s="19" t="s">
        <v>39</v>
      </c>
      <c r="C188" s="19">
        <v>1</v>
      </c>
      <c r="D188" s="19">
        <v>186</v>
      </c>
      <c r="E188" s="19">
        <v>3</v>
      </c>
      <c r="F188" s="19" t="s">
        <v>35</v>
      </c>
    </row>
    <row r="189" spans="1:6" ht="15.75" customHeight="1" x14ac:dyDescent="0.25">
      <c r="A189" s="35" t="s">
        <v>277</v>
      </c>
      <c r="B189" s="47" t="s">
        <v>17</v>
      </c>
      <c r="C189" s="47">
        <v>1</v>
      </c>
      <c r="D189" s="47">
        <v>127</v>
      </c>
      <c r="E189" s="47">
        <v>1</v>
      </c>
      <c r="F189" s="47" t="s">
        <v>35</v>
      </c>
    </row>
    <row r="190" spans="1:6" ht="15.75" customHeight="1" x14ac:dyDescent="0.25">
      <c r="A190" s="44"/>
      <c r="B190" s="47" t="s">
        <v>26</v>
      </c>
      <c r="C190" s="47">
        <v>1</v>
      </c>
      <c r="D190" s="47">
        <v>52</v>
      </c>
      <c r="E190" s="47">
        <v>1</v>
      </c>
      <c r="F190" s="47" t="s">
        <v>35</v>
      </c>
    </row>
    <row r="191" spans="1:6" ht="15.75" customHeight="1" x14ac:dyDescent="0.25">
      <c r="A191" s="44"/>
      <c r="B191" s="47" t="s">
        <v>32</v>
      </c>
      <c r="C191" s="47">
        <v>1</v>
      </c>
      <c r="D191" s="47">
        <v>48</v>
      </c>
      <c r="E191" s="47">
        <v>1</v>
      </c>
      <c r="F191" s="47" t="s">
        <v>35</v>
      </c>
    </row>
    <row r="192" spans="1:6" ht="15.75" customHeight="1" x14ac:dyDescent="0.25">
      <c r="A192" s="44"/>
      <c r="B192" s="47" t="s">
        <v>42</v>
      </c>
      <c r="C192" s="47">
        <v>1</v>
      </c>
      <c r="D192" s="47">
        <v>38</v>
      </c>
      <c r="E192" s="47">
        <v>3</v>
      </c>
      <c r="F192" s="47" t="s">
        <v>34</v>
      </c>
    </row>
    <row r="193" spans="1:6" ht="15.75" customHeight="1" x14ac:dyDescent="0.25">
      <c r="A193" s="44"/>
      <c r="B193" s="47" t="s">
        <v>44</v>
      </c>
      <c r="C193" s="47">
        <v>2</v>
      </c>
      <c r="D193" s="47">
        <v>153</v>
      </c>
      <c r="E193" s="47">
        <v>5</v>
      </c>
      <c r="F193" s="47" t="s">
        <v>44</v>
      </c>
    </row>
    <row r="194" spans="1:6" ht="15.75" customHeight="1" x14ac:dyDescent="0.25">
      <c r="A194" s="44"/>
      <c r="B194" s="47" t="s">
        <v>45</v>
      </c>
      <c r="C194" s="47">
        <v>1</v>
      </c>
      <c r="D194" s="47">
        <v>120</v>
      </c>
      <c r="E194" s="47">
        <v>2</v>
      </c>
      <c r="F194" s="47" t="s">
        <v>39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224"/>
  <sheetViews>
    <sheetView topLeftCell="A203" workbookViewId="0">
      <selection activeCell="A219" sqref="A219:F224"/>
    </sheetView>
  </sheetViews>
  <sheetFormatPr defaultColWidth="12.6640625" defaultRowHeight="15.75" customHeight="1" x14ac:dyDescent="0.25"/>
  <cols>
    <col min="1" max="1" width="18.6640625" customWidth="1"/>
    <col min="5" max="5" width="17.21875" customWidth="1"/>
    <col min="6" max="6" width="18.77734375" customWidth="1"/>
    <col min="7" max="7" width="56.6640625" customWidth="1"/>
    <col min="8" max="8" width="14.88671875" customWidth="1"/>
    <col min="9" max="9" width="69.77734375" customWidth="1"/>
    <col min="10" max="10" width="13.77734375" customWidth="1"/>
    <col min="13" max="13" width="21.88671875" customWidth="1"/>
    <col min="15" max="15" width="21.88671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4" t="s">
        <v>1</v>
      </c>
      <c r="L1" s="4" t="s">
        <v>11</v>
      </c>
      <c r="M1" s="4" t="s">
        <v>12</v>
      </c>
      <c r="N1" s="4" t="s">
        <v>13</v>
      </c>
      <c r="O1" s="4" t="s">
        <v>9</v>
      </c>
      <c r="P1" s="4" t="s">
        <v>10</v>
      </c>
    </row>
    <row r="2" spans="1:16" x14ac:dyDescent="0.25">
      <c r="A2" s="2" t="s">
        <v>15</v>
      </c>
      <c r="B2" s="8" t="s">
        <v>16</v>
      </c>
      <c r="C2" s="8">
        <v>1</v>
      </c>
      <c r="D2" s="8">
        <v>172</v>
      </c>
      <c r="E2" s="8">
        <v>3</v>
      </c>
      <c r="F2" s="8" t="s">
        <v>17</v>
      </c>
      <c r="G2" s="10" t="s">
        <v>18</v>
      </c>
      <c r="H2" s="10" t="s">
        <v>19</v>
      </c>
      <c r="I2" s="68" t="s">
        <v>20</v>
      </c>
      <c r="K2" s="14" t="s">
        <v>16</v>
      </c>
      <c r="L2" s="15">
        <f t="shared" ref="L2:L13" si="0">(AVERAGEIF(B2:B28,K2,D2:D28))</f>
        <v>108</v>
      </c>
      <c r="M2" s="15">
        <f t="shared" ref="M2:M13" si="1">(AVERAGEIF(B2:B28,K2,C2:C28))</f>
        <v>1</v>
      </c>
      <c r="N2" s="15">
        <f t="shared" ref="N2:N13" si="2">(AVERAGEIF(B2:B28,K2,E2:E28))</f>
        <v>2</v>
      </c>
      <c r="O2" s="15">
        <f t="shared" ref="O2:O13" si="3">(COUNTIF($F$2:$F$28,K2))</f>
        <v>1</v>
      </c>
      <c r="P2" s="17">
        <f>COUNTIF($F:$F,"1S")/(COUNTIF($F:$F,"1S")+COUNTIF($F:$F,"1C"))</f>
        <v>0.375</v>
      </c>
    </row>
    <row r="3" spans="1:16" x14ac:dyDescent="0.25">
      <c r="A3" s="23"/>
      <c r="B3" s="24" t="s">
        <v>24</v>
      </c>
      <c r="C3" s="24">
        <v>1</v>
      </c>
      <c r="D3" s="24">
        <v>113</v>
      </c>
      <c r="E3" s="24">
        <v>1</v>
      </c>
      <c r="F3" s="24" t="s">
        <v>26</v>
      </c>
      <c r="G3" s="24" t="s">
        <v>18</v>
      </c>
      <c r="H3" s="25" t="s">
        <v>33</v>
      </c>
      <c r="I3" s="67"/>
      <c r="K3" s="14" t="s">
        <v>24</v>
      </c>
      <c r="L3" s="15">
        <f t="shared" si="0"/>
        <v>70</v>
      </c>
      <c r="M3" s="15">
        <f t="shared" si="1"/>
        <v>1</v>
      </c>
      <c r="N3" s="15">
        <f t="shared" si="2"/>
        <v>1.5</v>
      </c>
      <c r="O3" s="15">
        <f t="shared" si="3"/>
        <v>1</v>
      </c>
      <c r="P3" s="17">
        <f>COUNTIF($F:$F,"2S")/(COUNTIF($F:$F,"2S")+COUNTIF($F:$F,"2C"))</f>
        <v>0.4375</v>
      </c>
    </row>
    <row r="4" spans="1:16" x14ac:dyDescent="0.25">
      <c r="A4" s="6"/>
      <c r="B4" s="8" t="s">
        <v>27</v>
      </c>
      <c r="C4" s="8">
        <v>1</v>
      </c>
      <c r="D4" s="8">
        <v>37</v>
      </c>
      <c r="E4" s="8">
        <v>1</v>
      </c>
      <c r="F4" s="8" t="s">
        <v>32</v>
      </c>
      <c r="G4" s="8" t="s">
        <v>37</v>
      </c>
      <c r="H4" s="10" t="s">
        <v>38</v>
      </c>
      <c r="I4" s="67"/>
      <c r="K4" s="14" t="s">
        <v>27</v>
      </c>
      <c r="L4" s="15">
        <f t="shared" si="0"/>
        <v>62.5</v>
      </c>
      <c r="M4" s="15">
        <f t="shared" si="1"/>
        <v>1.5</v>
      </c>
      <c r="N4" s="15">
        <f t="shared" si="2"/>
        <v>1</v>
      </c>
      <c r="O4" s="15">
        <f t="shared" si="3"/>
        <v>0</v>
      </c>
      <c r="P4" s="17">
        <f>COUNTIF($F:$F,"3S")/(COUNTIF($F:$F,"3S")+COUNTIF($F:$F,"3C"))</f>
        <v>0.625</v>
      </c>
    </row>
    <row r="5" spans="1:16" x14ac:dyDescent="0.25">
      <c r="A5" s="23"/>
      <c r="B5" s="24" t="s">
        <v>34</v>
      </c>
      <c r="C5" s="24">
        <v>1</v>
      </c>
      <c r="D5" s="24">
        <v>31</v>
      </c>
      <c r="E5" s="24">
        <v>1</v>
      </c>
      <c r="F5" s="24" t="s">
        <v>35</v>
      </c>
      <c r="G5" s="26"/>
      <c r="H5" s="26"/>
      <c r="I5" s="67"/>
      <c r="K5" s="14" t="s">
        <v>34</v>
      </c>
      <c r="L5" s="15">
        <f t="shared" si="0"/>
        <v>20.5</v>
      </c>
      <c r="M5" s="15">
        <f t="shared" si="1"/>
        <v>1</v>
      </c>
      <c r="N5" s="15">
        <f t="shared" si="2"/>
        <v>1</v>
      </c>
      <c r="O5" s="15">
        <f t="shared" si="3"/>
        <v>2</v>
      </c>
      <c r="P5" s="17">
        <f>COUNTIF($F:$F,"4C")/(COUNTIF($F:$F,"4C")+COUNTIF($F:$F,"4S"))</f>
        <v>0.875</v>
      </c>
    </row>
    <row r="6" spans="1:16" x14ac:dyDescent="0.25">
      <c r="A6" s="6"/>
      <c r="B6" s="8" t="s">
        <v>36</v>
      </c>
      <c r="C6" s="8">
        <v>1</v>
      </c>
      <c r="D6" s="8">
        <v>248</v>
      </c>
      <c r="E6" s="8">
        <v>5</v>
      </c>
      <c r="F6" s="8" t="s">
        <v>35</v>
      </c>
      <c r="G6" s="12"/>
      <c r="H6" s="12"/>
      <c r="I6" s="67"/>
      <c r="K6" s="14" t="s">
        <v>36</v>
      </c>
      <c r="L6" s="15">
        <f t="shared" si="0"/>
        <v>154.5</v>
      </c>
      <c r="M6" s="15">
        <f t="shared" si="1"/>
        <v>1.5</v>
      </c>
      <c r="N6" s="15">
        <f t="shared" si="2"/>
        <v>4</v>
      </c>
      <c r="O6" s="15">
        <f t="shared" si="3"/>
        <v>2</v>
      </c>
      <c r="P6" s="17">
        <f>COUNTIF($F:$F,"5C")/(COUNTIF($F:$F,"5C")+COUNTIF($F:$F,"5S"))</f>
        <v>0.625</v>
      </c>
    </row>
    <row r="7" spans="1:16" x14ac:dyDescent="0.25">
      <c r="A7" s="23"/>
      <c r="B7" s="24" t="s">
        <v>39</v>
      </c>
      <c r="C7" s="24">
        <v>1</v>
      </c>
      <c r="D7" s="24">
        <v>26</v>
      </c>
      <c r="E7" s="24">
        <v>2</v>
      </c>
      <c r="F7" s="24" t="s">
        <v>35</v>
      </c>
      <c r="G7" s="26"/>
      <c r="H7" s="26"/>
      <c r="I7" s="67"/>
      <c r="K7" s="14" t="s">
        <v>39</v>
      </c>
      <c r="L7" s="15">
        <f t="shared" si="0"/>
        <v>26.5</v>
      </c>
      <c r="M7" s="15">
        <f t="shared" si="1"/>
        <v>1</v>
      </c>
      <c r="N7" s="15">
        <f t="shared" si="2"/>
        <v>2</v>
      </c>
      <c r="O7" s="15">
        <f t="shared" si="3"/>
        <v>2</v>
      </c>
      <c r="P7" s="17">
        <f>COUNTIF($F:$F,"6C")/(COUNTIF($F:$F,"6S")+COUNTIF($F:$F,"6C"))</f>
        <v>0.75</v>
      </c>
    </row>
    <row r="8" spans="1:16" x14ac:dyDescent="0.25">
      <c r="A8" s="30"/>
      <c r="B8" s="31"/>
      <c r="C8" s="32"/>
      <c r="D8" s="32"/>
      <c r="E8" s="32"/>
      <c r="F8" s="32"/>
      <c r="G8" s="3"/>
      <c r="H8" s="3"/>
      <c r="I8" s="33"/>
      <c r="K8" s="14" t="s">
        <v>17</v>
      </c>
      <c r="L8" s="15">
        <f t="shared" si="0"/>
        <v>108.5</v>
      </c>
      <c r="M8" s="15">
        <f t="shared" si="1"/>
        <v>1</v>
      </c>
      <c r="N8" s="15">
        <f t="shared" si="2"/>
        <v>1.5</v>
      </c>
      <c r="O8" s="15">
        <f t="shared" si="3"/>
        <v>1</v>
      </c>
      <c r="P8" s="17">
        <f>COUNTIF($F:$F,"1C")/(COUNTIF($F:$F,"1S")+COUNTIF($F:$F,"1C"))</f>
        <v>0.625</v>
      </c>
    </row>
    <row r="9" spans="1:16" x14ac:dyDescent="0.25">
      <c r="A9" s="34" t="s">
        <v>40</v>
      </c>
      <c r="B9" s="24" t="s">
        <v>17</v>
      </c>
      <c r="C9" s="24">
        <v>1</v>
      </c>
      <c r="D9" s="24">
        <v>124</v>
      </c>
      <c r="E9" s="24">
        <v>1</v>
      </c>
      <c r="F9" s="24" t="s">
        <v>35</v>
      </c>
      <c r="G9" s="26"/>
      <c r="H9" s="26"/>
      <c r="I9" s="69" t="s">
        <v>49</v>
      </c>
      <c r="K9" s="14" t="s">
        <v>26</v>
      </c>
      <c r="L9" s="15">
        <f t="shared" si="0"/>
        <v>66</v>
      </c>
      <c r="M9" s="15">
        <f t="shared" si="1"/>
        <v>1</v>
      </c>
      <c r="N9" s="15">
        <f t="shared" si="2"/>
        <v>1</v>
      </c>
      <c r="O9" s="15">
        <f t="shared" si="3"/>
        <v>1</v>
      </c>
      <c r="P9" s="17">
        <f>COUNTIF($F:$F,"2C")/(COUNTIF($F:$F,"2S")+COUNTIF($F:$F,"2C"))</f>
        <v>0.5625</v>
      </c>
    </row>
    <row r="10" spans="1:16" x14ac:dyDescent="0.25">
      <c r="A10" s="6"/>
      <c r="B10" s="8" t="s">
        <v>26</v>
      </c>
      <c r="C10" s="8">
        <v>1</v>
      </c>
      <c r="D10" s="8">
        <v>93</v>
      </c>
      <c r="E10" s="8">
        <v>1</v>
      </c>
      <c r="F10" s="8" t="s">
        <v>35</v>
      </c>
      <c r="G10" s="12"/>
      <c r="H10" s="12"/>
      <c r="I10" s="67"/>
      <c r="K10" s="14" t="s">
        <v>32</v>
      </c>
      <c r="L10" s="15">
        <f t="shared" si="0"/>
        <v>43</v>
      </c>
      <c r="M10" s="15">
        <f t="shared" si="1"/>
        <v>1</v>
      </c>
      <c r="N10" s="15">
        <f t="shared" si="2"/>
        <v>1.5</v>
      </c>
      <c r="O10" s="15">
        <f t="shared" si="3"/>
        <v>2</v>
      </c>
      <c r="P10" s="17">
        <f>COUNTIF($F:$F,"3C")/(COUNTIF($F:$F,"3C")+COUNTIF($F:$F,"3S"))</f>
        <v>0.375</v>
      </c>
    </row>
    <row r="11" spans="1:16" x14ac:dyDescent="0.25">
      <c r="A11" s="23"/>
      <c r="B11" s="24" t="s">
        <v>32</v>
      </c>
      <c r="C11" s="24">
        <v>1</v>
      </c>
      <c r="D11" s="24">
        <v>40</v>
      </c>
      <c r="E11" s="24">
        <v>1</v>
      </c>
      <c r="F11" s="24" t="s">
        <v>35</v>
      </c>
      <c r="G11" s="26"/>
      <c r="H11" s="26"/>
      <c r="I11" s="67"/>
      <c r="K11" s="14" t="s">
        <v>42</v>
      </c>
      <c r="L11" s="15">
        <f t="shared" si="0"/>
        <v>46.5</v>
      </c>
      <c r="M11" s="15">
        <f t="shared" si="1"/>
        <v>1</v>
      </c>
      <c r="N11" s="15">
        <f t="shared" si="2"/>
        <v>1.5</v>
      </c>
      <c r="O11" s="15">
        <f t="shared" si="3"/>
        <v>0</v>
      </c>
      <c r="P11" s="17">
        <f>COUNTIF($F:$F,"4S")/(COUNTIF($F:$F,"4S")+COUNTIF($F:$F,"4C"))</f>
        <v>0.125</v>
      </c>
    </row>
    <row r="12" spans="1:16" x14ac:dyDescent="0.25">
      <c r="A12" s="6"/>
      <c r="B12" s="8" t="s">
        <v>42</v>
      </c>
      <c r="C12" s="8">
        <v>1</v>
      </c>
      <c r="D12" s="8">
        <v>57</v>
      </c>
      <c r="E12" s="8">
        <v>1</v>
      </c>
      <c r="F12" s="8" t="s">
        <v>34</v>
      </c>
      <c r="G12" s="8" t="s">
        <v>54</v>
      </c>
      <c r="H12" s="10" t="s">
        <v>55</v>
      </c>
      <c r="I12" s="67"/>
      <c r="K12" s="14" t="s">
        <v>44</v>
      </c>
      <c r="L12" s="15">
        <f t="shared" si="0"/>
        <v>211</v>
      </c>
      <c r="M12" s="15">
        <f t="shared" si="1"/>
        <v>2</v>
      </c>
      <c r="N12" s="15">
        <f t="shared" si="2"/>
        <v>3</v>
      </c>
      <c r="O12" s="15">
        <f t="shared" si="3"/>
        <v>0</v>
      </c>
      <c r="P12" s="17">
        <f>COUNTIF($F:$F,"5S")/(COUNTIF($F:$F,"5S")+COUNTIF($F:$F,"5C"))</f>
        <v>0.375</v>
      </c>
    </row>
    <row r="13" spans="1:16" x14ac:dyDescent="0.25">
      <c r="A13" s="23"/>
      <c r="B13" s="24" t="s">
        <v>44</v>
      </c>
      <c r="C13" s="24">
        <v>2</v>
      </c>
      <c r="D13" s="24">
        <v>298</v>
      </c>
      <c r="E13" s="24">
        <v>3</v>
      </c>
      <c r="F13" s="24" t="s">
        <v>36</v>
      </c>
      <c r="G13" s="24" t="s">
        <v>54</v>
      </c>
      <c r="H13" s="25" t="s">
        <v>57</v>
      </c>
      <c r="I13" s="67"/>
      <c r="K13" s="14" t="s">
        <v>45</v>
      </c>
      <c r="L13" s="15">
        <f t="shared" si="0"/>
        <v>147.5</v>
      </c>
      <c r="M13" s="15">
        <f t="shared" si="1"/>
        <v>1.5</v>
      </c>
      <c r="N13" s="15">
        <f t="shared" si="2"/>
        <v>3</v>
      </c>
      <c r="O13" s="15">
        <f t="shared" si="3"/>
        <v>0</v>
      </c>
      <c r="P13" s="17">
        <f>COUNTIF($F:$F,"6S")/(COUNTIF($F:$F,"6S")+COUNTIF($F:$F,"6C"))</f>
        <v>0.25</v>
      </c>
    </row>
    <row r="14" spans="1:16" x14ac:dyDescent="0.25">
      <c r="A14" s="6"/>
      <c r="B14" s="8" t="s">
        <v>45</v>
      </c>
      <c r="C14" s="8">
        <v>2</v>
      </c>
      <c r="D14" s="8">
        <v>216</v>
      </c>
      <c r="E14" s="8">
        <v>3</v>
      </c>
      <c r="F14" s="8" t="s">
        <v>39</v>
      </c>
      <c r="G14" s="8" t="s">
        <v>60</v>
      </c>
      <c r="H14" s="10" t="s">
        <v>61</v>
      </c>
      <c r="I14" s="67"/>
    </row>
    <row r="15" spans="1:16" x14ac:dyDescent="0.25">
      <c r="A15" s="30"/>
      <c r="B15" s="31"/>
      <c r="C15" s="32"/>
      <c r="D15" s="32"/>
      <c r="E15" s="32"/>
      <c r="F15" s="32"/>
      <c r="G15" s="38"/>
      <c r="H15" s="38"/>
      <c r="I15" s="33"/>
    </row>
    <row r="16" spans="1:16" x14ac:dyDescent="0.25">
      <c r="A16" s="2" t="s">
        <v>47</v>
      </c>
      <c r="B16" s="8" t="s">
        <v>16</v>
      </c>
      <c r="C16" s="8">
        <v>1</v>
      </c>
      <c r="D16" s="8">
        <v>44</v>
      </c>
      <c r="E16" s="8">
        <v>1</v>
      </c>
      <c r="F16" s="8" t="s">
        <v>16</v>
      </c>
      <c r="G16" s="10" t="s">
        <v>18</v>
      </c>
      <c r="H16" s="10" t="s">
        <v>19</v>
      </c>
      <c r="I16" s="39" t="s">
        <v>63</v>
      </c>
      <c r="J16" s="14" t="s">
        <v>16</v>
      </c>
      <c r="K16" s="40" t="s">
        <v>64</v>
      </c>
      <c r="L16" s="14" t="s">
        <v>17</v>
      </c>
      <c r="M16" s="40" t="s">
        <v>64</v>
      </c>
    </row>
    <row r="17" spans="1:13" x14ac:dyDescent="0.25">
      <c r="A17" s="23"/>
      <c r="B17" s="24" t="s">
        <v>24</v>
      </c>
      <c r="C17" s="24">
        <v>1</v>
      </c>
      <c r="D17" s="24">
        <v>27</v>
      </c>
      <c r="E17" s="24">
        <v>2</v>
      </c>
      <c r="F17" s="24" t="s">
        <v>24</v>
      </c>
      <c r="G17" s="24" t="s">
        <v>18</v>
      </c>
      <c r="H17" s="25" t="s">
        <v>33</v>
      </c>
      <c r="I17" s="36"/>
      <c r="J17" s="14" t="s">
        <v>24</v>
      </c>
      <c r="K17" s="40" t="s">
        <v>65</v>
      </c>
      <c r="L17" s="14" t="s">
        <v>26</v>
      </c>
      <c r="M17" s="40" t="s">
        <v>65</v>
      </c>
    </row>
    <row r="18" spans="1:13" x14ac:dyDescent="0.25">
      <c r="A18" s="6"/>
      <c r="B18" s="8" t="s">
        <v>27</v>
      </c>
      <c r="C18" s="8">
        <v>2</v>
      </c>
      <c r="D18" s="8">
        <v>88</v>
      </c>
      <c r="E18" s="8">
        <v>1</v>
      </c>
      <c r="F18" s="8" t="s">
        <v>32</v>
      </c>
      <c r="G18" s="8" t="s">
        <v>37</v>
      </c>
      <c r="H18" s="10" t="s">
        <v>38</v>
      </c>
      <c r="I18" s="39"/>
      <c r="J18" s="14" t="s">
        <v>27</v>
      </c>
      <c r="K18" s="40" t="s">
        <v>65</v>
      </c>
      <c r="L18" s="14" t="s">
        <v>32</v>
      </c>
      <c r="M18" s="40" t="s">
        <v>65</v>
      </c>
    </row>
    <row r="19" spans="1:13" x14ac:dyDescent="0.25">
      <c r="A19" s="23"/>
      <c r="B19" s="24" t="s">
        <v>34</v>
      </c>
      <c r="C19" s="24">
        <v>1</v>
      </c>
      <c r="D19" s="24">
        <v>10</v>
      </c>
      <c r="E19" s="24">
        <v>1</v>
      </c>
      <c r="F19" s="24" t="s">
        <v>35</v>
      </c>
      <c r="G19" s="26"/>
      <c r="H19" s="26"/>
      <c r="I19" s="36"/>
      <c r="J19" s="14" t="s">
        <v>34</v>
      </c>
      <c r="K19" s="40" t="s">
        <v>64</v>
      </c>
      <c r="L19" s="14" t="s">
        <v>42</v>
      </c>
      <c r="M19" s="40" t="s">
        <v>64</v>
      </c>
    </row>
    <row r="20" spans="1:13" x14ac:dyDescent="0.25">
      <c r="A20" s="6"/>
      <c r="B20" s="8" t="s">
        <v>36</v>
      </c>
      <c r="C20" s="8">
        <v>2</v>
      </c>
      <c r="D20" s="8">
        <v>61</v>
      </c>
      <c r="E20" s="8">
        <v>3</v>
      </c>
      <c r="F20" s="8" t="s">
        <v>35</v>
      </c>
      <c r="G20" s="12"/>
      <c r="H20" s="12"/>
      <c r="I20" s="39"/>
      <c r="J20" s="14" t="s">
        <v>36</v>
      </c>
      <c r="K20" s="40" t="s">
        <v>69</v>
      </c>
      <c r="L20" s="14" t="s">
        <v>44</v>
      </c>
      <c r="M20" s="40" t="s">
        <v>69</v>
      </c>
    </row>
    <row r="21" spans="1:13" x14ac:dyDescent="0.25">
      <c r="A21" s="23"/>
      <c r="B21" s="24" t="s">
        <v>39</v>
      </c>
      <c r="C21" s="24">
        <v>1</v>
      </c>
      <c r="D21" s="24">
        <v>27</v>
      </c>
      <c r="E21" s="24">
        <v>2</v>
      </c>
      <c r="F21" s="24" t="s">
        <v>35</v>
      </c>
      <c r="G21" s="26"/>
      <c r="H21" s="26"/>
      <c r="I21" s="36"/>
      <c r="J21" s="14" t="s">
        <v>39</v>
      </c>
      <c r="K21" s="40" t="s">
        <v>69</v>
      </c>
      <c r="L21" s="14" t="s">
        <v>45</v>
      </c>
      <c r="M21" s="40" t="s">
        <v>69</v>
      </c>
    </row>
    <row r="22" spans="1:13" x14ac:dyDescent="0.25">
      <c r="A22" s="30"/>
      <c r="B22" s="31"/>
      <c r="C22" s="32"/>
      <c r="D22" s="32"/>
      <c r="E22" s="32"/>
      <c r="F22" s="32"/>
      <c r="G22" s="3"/>
      <c r="H22" s="3"/>
      <c r="I22" s="33"/>
    </row>
    <row r="23" spans="1:13" x14ac:dyDescent="0.25">
      <c r="A23" s="34" t="s">
        <v>51</v>
      </c>
      <c r="B23" s="24" t="s">
        <v>17</v>
      </c>
      <c r="C23" s="24">
        <v>1</v>
      </c>
      <c r="D23" s="24">
        <v>93</v>
      </c>
      <c r="E23" s="24">
        <v>2</v>
      </c>
      <c r="F23" s="24" t="s">
        <v>35</v>
      </c>
      <c r="G23" s="26"/>
      <c r="H23" s="26"/>
      <c r="I23" s="36" t="s">
        <v>72</v>
      </c>
    </row>
    <row r="24" spans="1:13" x14ac:dyDescent="0.25">
      <c r="A24" s="6"/>
      <c r="B24" s="8" t="s">
        <v>26</v>
      </c>
      <c r="C24" s="8">
        <v>1</v>
      </c>
      <c r="D24" s="8">
        <v>39</v>
      </c>
      <c r="E24" s="8">
        <v>1</v>
      </c>
      <c r="F24" s="8" t="s">
        <v>35</v>
      </c>
      <c r="G24" s="12"/>
      <c r="H24" s="12"/>
      <c r="I24" s="39"/>
    </row>
    <row r="25" spans="1:13" x14ac:dyDescent="0.25">
      <c r="A25" s="23"/>
      <c r="B25" s="24" t="s">
        <v>32</v>
      </c>
      <c r="C25" s="24">
        <v>1</v>
      </c>
      <c r="D25" s="24">
        <v>46</v>
      </c>
      <c r="E25" s="24">
        <v>2</v>
      </c>
      <c r="F25" s="24" t="s">
        <v>35</v>
      </c>
      <c r="G25" s="26"/>
      <c r="H25" s="26"/>
      <c r="I25" s="36"/>
    </row>
    <row r="26" spans="1:13" x14ac:dyDescent="0.25">
      <c r="A26" s="6"/>
      <c r="B26" s="8" t="s">
        <v>42</v>
      </c>
      <c r="C26" s="8">
        <v>1</v>
      </c>
      <c r="D26" s="8">
        <v>36</v>
      </c>
      <c r="E26" s="8">
        <v>2</v>
      </c>
      <c r="F26" s="8" t="s">
        <v>34</v>
      </c>
      <c r="G26" s="8" t="s">
        <v>54</v>
      </c>
      <c r="H26" s="10" t="s">
        <v>55</v>
      </c>
      <c r="I26" s="39"/>
    </row>
    <row r="27" spans="1:13" x14ac:dyDescent="0.25">
      <c r="A27" s="23"/>
      <c r="B27" s="24" t="s">
        <v>44</v>
      </c>
      <c r="C27" s="24">
        <v>2</v>
      </c>
      <c r="D27" s="24">
        <v>124</v>
      </c>
      <c r="E27" s="24">
        <v>3</v>
      </c>
      <c r="F27" s="24" t="s">
        <v>36</v>
      </c>
      <c r="G27" s="24" t="s">
        <v>54</v>
      </c>
      <c r="H27" s="25" t="s">
        <v>57</v>
      </c>
      <c r="I27" s="36"/>
    </row>
    <row r="28" spans="1:13" x14ac:dyDescent="0.25">
      <c r="A28" s="6"/>
      <c r="B28" s="8" t="s">
        <v>45</v>
      </c>
      <c r="C28" s="8">
        <v>1</v>
      </c>
      <c r="D28" s="8">
        <v>79</v>
      </c>
      <c r="E28" s="8">
        <v>3</v>
      </c>
      <c r="F28" s="8" t="s">
        <v>39</v>
      </c>
      <c r="G28" s="8" t="s">
        <v>60</v>
      </c>
      <c r="H28" s="10" t="s">
        <v>61</v>
      </c>
      <c r="I28" s="39"/>
    </row>
    <row r="29" spans="1:13" x14ac:dyDescent="0.25">
      <c r="A29" s="30"/>
      <c r="B29" s="31"/>
      <c r="C29" s="32"/>
      <c r="D29" s="32"/>
      <c r="E29" s="32"/>
      <c r="F29" s="32"/>
      <c r="G29" s="41"/>
      <c r="H29" s="41"/>
      <c r="I29" s="33"/>
    </row>
    <row r="30" spans="1:13" x14ac:dyDescent="0.25">
      <c r="A30" s="4" t="s">
        <v>58</v>
      </c>
      <c r="B30" s="14" t="s">
        <v>16</v>
      </c>
      <c r="C30" s="14">
        <v>1</v>
      </c>
      <c r="D30" s="14">
        <v>83</v>
      </c>
      <c r="E30" s="14">
        <v>2</v>
      </c>
      <c r="F30" s="14" t="s">
        <v>17</v>
      </c>
      <c r="G30" s="42" t="s">
        <v>18</v>
      </c>
      <c r="H30" s="42" t="s">
        <v>19</v>
      </c>
      <c r="I30" s="43" t="s">
        <v>76</v>
      </c>
    </row>
    <row r="31" spans="1:13" x14ac:dyDescent="0.25">
      <c r="A31" s="44"/>
      <c r="B31" s="14" t="s">
        <v>24</v>
      </c>
      <c r="C31" s="14">
        <v>1</v>
      </c>
      <c r="D31" s="14">
        <v>65</v>
      </c>
      <c r="E31" s="14">
        <v>1</v>
      </c>
      <c r="F31" s="14" t="s">
        <v>26</v>
      </c>
      <c r="G31" s="14" t="s">
        <v>18</v>
      </c>
      <c r="H31" s="42" t="s">
        <v>33</v>
      </c>
      <c r="I31" s="43"/>
    </row>
    <row r="32" spans="1:13" x14ac:dyDescent="0.25">
      <c r="A32" s="44"/>
      <c r="B32" s="14" t="s">
        <v>27</v>
      </c>
      <c r="C32" s="14">
        <v>1</v>
      </c>
      <c r="D32" s="14">
        <v>16</v>
      </c>
      <c r="E32" s="14">
        <v>1</v>
      </c>
      <c r="F32" s="14" t="s">
        <v>32</v>
      </c>
      <c r="G32" s="14" t="s">
        <v>37</v>
      </c>
      <c r="H32" s="42" t="s">
        <v>38</v>
      </c>
      <c r="I32" s="43"/>
    </row>
    <row r="33" spans="1:9" x14ac:dyDescent="0.25">
      <c r="A33" s="44"/>
      <c r="B33" s="14" t="s">
        <v>34</v>
      </c>
      <c r="C33" s="14">
        <v>1</v>
      </c>
      <c r="D33" s="14">
        <v>29</v>
      </c>
      <c r="E33" s="14">
        <v>2</v>
      </c>
      <c r="F33" s="14" t="s">
        <v>35</v>
      </c>
      <c r="G33" s="15"/>
      <c r="H33" s="15"/>
      <c r="I33" s="43"/>
    </row>
    <row r="34" spans="1:9" x14ac:dyDescent="0.25">
      <c r="A34" s="44"/>
      <c r="B34" s="14" t="s">
        <v>36</v>
      </c>
      <c r="C34" s="14">
        <v>2</v>
      </c>
      <c r="D34" s="14">
        <v>105</v>
      </c>
      <c r="E34" s="14">
        <v>3</v>
      </c>
      <c r="F34" s="14" t="s">
        <v>35</v>
      </c>
      <c r="G34" s="15"/>
      <c r="H34" s="15"/>
      <c r="I34" s="43"/>
    </row>
    <row r="35" spans="1:9" x14ac:dyDescent="0.25">
      <c r="A35" s="44"/>
      <c r="B35" s="14" t="s">
        <v>39</v>
      </c>
      <c r="C35" s="14">
        <v>2</v>
      </c>
      <c r="D35" s="14">
        <v>142</v>
      </c>
      <c r="E35" s="14">
        <v>3</v>
      </c>
      <c r="F35" s="14" t="s">
        <v>35</v>
      </c>
      <c r="G35" s="15"/>
      <c r="H35" s="15"/>
      <c r="I35" s="43"/>
    </row>
    <row r="36" spans="1:9" x14ac:dyDescent="0.25">
      <c r="A36" s="30"/>
      <c r="B36" s="31"/>
      <c r="C36" s="32"/>
      <c r="D36" s="32"/>
      <c r="E36" s="32"/>
      <c r="F36" s="32"/>
      <c r="G36" s="41"/>
      <c r="H36" s="41"/>
      <c r="I36" s="33"/>
    </row>
    <row r="37" spans="1:9" x14ac:dyDescent="0.25">
      <c r="A37" s="4" t="s">
        <v>67</v>
      </c>
      <c r="B37" s="14" t="s">
        <v>17</v>
      </c>
      <c r="C37" s="14">
        <v>1</v>
      </c>
      <c r="D37" s="14">
        <v>54</v>
      </c>
      <c r="E37" s="14">
        <v>2</v>
      </c>
      <c r="F37" s="14" t="s">
        <v>35</v>
      </c>
      <c r="G37" s="15"/>
      <c r="H37" s="15"/>
      <c r="I37" s="43" t="s">
        <v>81</v>
      </c>
    </row>
    <row r="38" spans="1:9" x14ac:dyDescent="0.25">
      <c r="A38" s="44"/>
      <c r="B38" s="14" t="s">
        <v>26</v>
      </c>
      <c r="C38" s="14">
        <v>1</v>
      </c>
      <c r="D38" s="14">
        <v>58</v>
      </c>
      <c r="E38" s="14">
        <v>1</v>
      </c>
      <c r="F38" s="14" t="s">
        <v>35</v>
      </c>
      <c r="G38" s="15"/>
      <c r="H38" s="15"/>
      <c r="I38" s="43"/>
    </row>
    <row r="39" spans="1:9" x14ac:dyDescent="0.25">
      <c r="A39" s="44"/>
      <c r="B39" s="14" t="s">
        <v>32</v>
      </c>
      <c r="C39" s="14">
        <v>1</v>
      </c>
      <c r="D39" s="14">
        <v>54</v>
      </c>
      <c r="E39" s="14">
        <v>1</v>
      </c>
      <c r="F39" s="14" t="s">
        <v>35</v>
      </c>
      <c r="G39" s="15"/>
      <c r="H39" s="15"/>
      <c r="I39" s="43"/>
    </row>
    <row r="40" spans="1:9" x14ac:dyDescent="0.25">
      <c r="A40" s="44"/>
      <c r="B40" s="14" t="s">
        <v>42</v>
      </c>
      <c r="C40" s="14">
        <v>1</v>
      </c>
      <c r="D40" s="14">
        <v>103</v>
      </c>
      <c r="E40" s="14">
        <v>2</v>
      </c>
      <c r="F40" s="14" t="s">
        <v>34</v>
      </c>
      <c r="G40" s="14" t="s">
        <v>54</v>
      </c>
      <c r="H40" s="42" t="s">
        <v>55</v>
      </c>
      <c r="I40" s="43"/>
    </row>
    <row r="41" spans="1:9" x14ac:dyDescent="0.25">
      <c r="A41" s="44"/>
      <c r="B41" s="14" t="s">
        <v>44</v>
      </c>
      <c r="C41" s="14">
        <v>4</v>
      </c>
      <c r="D41" s="14">
        <v>255</v>
      </c>
      <c r="E41" s="14">
        <v>4</v>
      </c>
      <c r="F41" s="14" t="s">
        <v>44</v>
      </c>
      <c r="G41" s="14" t="s">
        <v>54</v>
      </c>
      <c r="H41" s="42" t="s">
        <v>57</v>
      </c>
      <c r="I41" s="43"/>
    </row>
    <row r="42" spans="1:9" x14ac:dyDescent="0.25">
      <c r="A42" s="44"/>
      <c r="B42" s="14" t="s">
        <v>45</v>
      </c>
      <c r="C42" s="14">
        <v>1</v>
      </c>
      <c r="D42" s="14">
        <v>24</v>
      </c>
      <c r="E42" s="14">
        <v>2</v>
      </c>
      <c r="F42" s="14" t="s">
        <v>39</v>
      </c>
      <c r="G42" s="14" t="s">
        <v>60</v>
      </c>
      <c r="H42" s="42" t="s">
        <v>61</v>
      </c>
      <c r="I42" s="43"/>
    </row>
    <row r="43" spans="1:9" x14ac:dyDescent="0.25">
      <c r="A43" s="30"/>
      <c r="B43" s="31"/>
      <c r="C43" s="32"/>
      <c r="D43" s="32"/>
      <c r="E43" s="32"/>
      <c r="F43" s="32"/>
      <c r="G43" s="41"/>
      <c r="H43" s="41"/>
      <c r="I43" s="33"/>
    </row>
    <row r="44" spans="1:9" x14ac:dyDescent="0.25">
      <c r="A44" s="4" t="s">
        <v>73</v>
      </c>
      <c r="B44" s="14" t="s">
        <v>16</v>
      </c>
      <c r="C44" s="14">
        <v>2</v>
      </c>
      <c r="D44" s="14">
        <v>214</v>
      </c>
      <c r="E44" s="14">
        <v>3</v>
      </c>
      <c r="F44" s="14" t="s">
        <v>16</v>
      </c>
      <c r="G44" s="42" t="s">
        <v>18</v>
      </c>
      <c r="H44" s="42" t="s">
        <v>85</v>
      </c>
      <c r="I44" s="43" t="s">
        <v>86</v>
      </c>
    </row>
    <row r="45" spans="1:9" x14ac:dyDescent="0.25">
      <c r="A45" s="44"/>
      <c r="B45" s="14" t="s">
        <v>24</v>
      </c>
      <c r="C45" s="14">
        <v>1</v>
      </c>
      <c r="D45" s="14">
        <v>19</v>
      </c>
      <c r="E45" s="14">
        <v>1</v>
      </c>
      <c r="F45" s="14" t="s">
        <v>24</v>
      </c>
      <c r="G45" s="14" t="s">
        <v>18</v>
      </c>
      <c r="H45" s="42" t="s">
        <v>85</v>
      </c>
      <c r="I45" s="43"/>
    </row>
    <row r="46" spans="1:9" x14ac:dyDescent="0.25">
      <c r="A46" s="44"/>
      <c r="B46" s="14" t="s">
        <v>27</v>
      </c>
      <c r="C46" s="14">
        <v>1</v>
      </c>
      <c r="D46" s="14">
        <v>39</v>
      </c>
      <c r="E46" s="14">
        <v>2</v>
      </c>
      <c r="F46" s="14" t="s">
        <v>27</v>
      </c>
      <c r="G46" s="14" t="s">
        <v>87</v>
      </c>
      <c r="H46" s="42" t="s">
        <v>85</v>
      </c>
      <c r="I46" s="43"/>
    </row>
    <row r="47" spans="1:9" x14ac:dyDescent="0.25">
      <c r="A47" s="44"/>
      <c r="B47" s="14" t="s">
        <v>34</v>
      </c>
      <c r="C47" s="14">
        <v>1</v>
      </c>
      <c r="D47" s="14">
        <v>86</v>
      </c>
      <c r="E47" s="14">
        <v>1</v>
      </c>
      <c r="F47" s="14" t="s">
        <v>35</v>
      </c>
      <c r="G47" s="15"/>
      <c r="H47" s="15"/>
      <c r="I47" s="43"/>
    </row>
    <row r="48" spans="1:9" x14ac:dyDescent="0.25">
      <c r="A48" s="44"/>
      <c r="B48" s="14" t="s">
        <v>36</v>
      </c>
      <c r="C48" s="14">
        <v>1</v>
      </c>
      <c r="D48" s="14">
        <v>50</v>
      </c>
      <c r="E48" s="14">
        <v>1</v>
      </c>
      <c r="F48" s="14" t="s">
        <v>35</v>
      </c>
      <c r="G48" s="15"/>
      <c r="H48" s="15"/>
      <c r="I48" s="43"/>
    </row>
    <row r="49" spans="1:9" x14ac:dyDescent="0.25">
      <c r="A49" s="44"/>
      <c r="B49" s="14" t="s">
        <v>39</v>
      </c>
      <c r="C49" s="14">
        <v>1</v>
      </c>
      <c r="D49" s="14">
        <v>47</v>
      </c>
      <c r="E49" s="14">
        <v>2</v>
      </c>
      <c r="F49" s="14" t="s">
        <v>35</v>
      </c>
      <c r="G49" s="15"/>
      <c r="H49" s="15"/>
      <c r="I49" s="43"/>
    </row>
    <row r="50" spans="1:9" x14ac:dyDescent="0.25">
      <c r="A50" s="30"/>
      <c r="B50" s="31"/>
      <c r="C50" s="32"/>
      <c r="D50" s="32"/>
      <c r="E50" s="32"/>
      <c r="F50" s="32"/>
      <c r="G50" s="41"/>
      <c r="H50" s="41"/>
      <c r="I50" s="33"/>
    </row>
    <row r="51" spans="1:9" x14ac:dyDescent="0.25">
      <c r="A51" s="4" t="s">
        <v>78</v>
      </c>
      <c r="B51" s="14" t="s">
        <v>17</v>
      </c>
      <c r="C51" s="14">
        <v>1</v>
      </c>
      <c r="D51" s="14">
        <v>82</v>
      </c>
      <c r="E51" s="14">
        <v>1</v>
      </c>
      <c r="F51" s="14" t="s">
        <v>35</v>
      </c>
      <c r="G51" s="15"/>
      <c r="H51" s="15"/>
      <c r="I51" s="43" t="s">
        <v>91</v>
      </c>
    </row>
    <row r="52" spans="1:9" x14ac:dyDescent="0.25">
      <c r="A52" s="44"/>
      <c r="B52" s="14" t="s">
        <v>26</v>
      </c>
      <c r="C52" s="14">
        <v>1</v>
      </c>
      <c r="D52" s="14">
        <v>32</v>
      </c>
      <c r="E52" s="14">
        <v>1</v>
      </c>
      <c r="F52" s="14" t="s">
        <v>35</v>
      </c>
      <c r="G52" s="15"/>
      <c r="H52" s="15"/>
      <c r="I52" s="43"/>
    </row>
    <row r="53" spans="1:9" x14ac:dyDescent="0.25">
      <c r="A53" s="44"/>
      <c r="B53" s="14" t="s">
        <v>32</v>
      </c>
      <c r="C53" s="14">
        <v>2</v>
      </c>
      <c r="D53" s="14">
        <v>88</v>
      </c>
      <c r="E53" s="14">
        <v>3</v>
      </c>
      <c r="F53" s="14" t="s">
        <v>35</v>
      </c>
      <c r="G53" s="15"/>
      <c r="H53" s="15"/>
      <c r="I53" s="43"/>
    </row>
    <row r="54" spans="1:9" x14ac:dyDescent="0.25">
      <c r="A54" s="44"/>
      <c r="B54" s="14" t="s">
        <v>42</v>
      </c>
      <c r="C54" s="14">
        <v>1</v>
      </c>
      <c r="D54" s="14">
        <v>55</v>
      </c>
      <c r="E54" s="14">
        <v>2</v>
      </c>
      <c r="F54" s="14" t="s">
        <v>34</v>
      </c>
      <c r="G54" s="14" t="s">
        <v>54</v>
      </c>
      <c r="H54" s="42" t="s">
        <v>93</v>
      </c>
      <c r="I54" s="43"/>
    </row>
    <row r="55" spans="1:9" x14ac:dyDescent="0.25">
      <c r="A55" s="44"/>
      <c r="B55" s="14" t="s">
        <v>44</v>
      </c>
      <c r="C55" s="14">
        <v>4</v>
      </c>
      <c r="D55" s="14">
        <v>170</v>
      </c>
      <c r="E55" s="14">
        <v>4</v>
      </c>
      <c r="F55" s="14" t="s">
        <v>44</v>
      </c>
      <c r="G55" s="14" t="s">
        <v>60</v>
      </c>
      <c r="H55" s="42" t="s">
        <v>94</v>
      </c>
      <c r="I55" s="43"/>
    </row>
    <row r="56" spans="1:9" x14ac:dyDescent="0.25">
      <c r="A56" s="44"/>
      <c r="B56" s="14" t="s">
        <v>45</v>
      </c>
      <c r="C56" s="14">
        <v>2</v>
      </c>
      <c r="D56" s="14">
        <v>74</v>
      </c>
      <c r="E56" s="14">
        <v>2</v>
      </c>
      <c r="F56" s="14" t="s">
        <v>39</v>
      </c>
      <c r="G56" s="14" t="s">
        <v>60</v>
      </c>
      <c r="H56" s="42" t="s">
        <v>61</v>
      </c>
      <c r="I56" s="43"/>
    </row>
    <row r="57" spans="1:9" x14ac:dyDescent="0.25">
      <c r="A57" s="30"/>
      <c r="B57" s="31"/>
      <c r="C57" s="32"/>
      <c r="D57" s="32"/>
      <c r="E57" s="32"/>
      <c r="F57" s="32"/>
      <c r="G57" s="41"/>
      <c r="H57" s="41"/>
      <c r="I57" s="33"/>
    </row>
    <row r="58" spans="1:9" x14ac:dyDescent="0.25">
      <c r="A58" s="4" t="s">
        <v>83</v>
      </c>
      <c r="B58" s="14" t="s">
        <v>16</v>
      </c>
      <c r="C58" s="14">
        <v>1</v>
      </c>
      <c r="D58" s="14">
        <v>141</v>
      </c>
      <c r="E58" s="14">
        <v>2</v>
      </c>
      <c r="F58" s="14" t="s">
        <v>17</v>
      </c>
      <c r="G58" s="42" t="s">
        <v>18</v>
      </c>
      <c r="H58" s="42" t="s">
        <v>95</v>
      </c>
      <c r="I58" s="43" t="s">
        <v>96</v>
      </c>
    </row>
    <row r="59" spans="1:9" x14ac:dyDescent="0.25">
      <c r="A59" s="44"/>
      <c r="B59" s="14" t="s">
        <v>24</v>
      </c>
      <c r="C59" s="14">
        <v>1</v>
      </c>
      <c r="D59" s="14">
        <v>62</v>
      </c>
      <c r="E59" s="14">
        <v>2</v>
      </c>
      <c r="F59" s="14" t="s">
        <v>26</v>
      </c>
      <c r="G59" s="14" t="s">
        <v>60</v>
      </c>
      <c r="H59" s="42" t="s">
        <v>98</v>
      </c>
      <c r="I59" s="43"/>
    </row>
    <row r="60" spans="1:9" x14ac:dyDescent="0.25">
      <c r="A60" s="44"/>
      <c r="B60" s="14" t="s">
        <v>27</v>
      </c>
      <c r="C60" s="14">
        <v>1</v>
      </c>
      <c r="D60" s="14">
        <v>37</v>
      </c>
      <c r="E60" s="14">
        <v>1</v>
      </c>
      <c r="F60" s="14" t="s">
        <v>27</v>
      </c>
      <c r="G60" s="14" t="s">
        <v>87</v>
      </c>
      <c r="H60" s="42" t="s">
        <v>100</v>
      </c>
      <c r="I60" s="43"/>
    </row>
    <row r="61" spans="1:9" x14ac:dyDescent="0.25">
      <c r="A61" s="44"/>
      <c r="B61" s="14" t="s">
        <v>34</v>
      </c>
      <c r="C61" s="14">
        <v>1</v>
      </c>
      <c r="D61" s="14">
        <v>47</v>
      </c>
      <c r="E61" s="14">
        <v>3</v>
      </c>
      <c r="F61" s="14" t="s">
        <v>35</v>
      </c>
      <c r="G61" s="15"/>
      <c r="H61" s="15"/>
      <c r="I61" s="43"/>
    </row>
    <row r="62" spans="1:9" x14ac:dyDescent="0.25">
      <c r="A62" s="44"/>
      <c r="B62" s="14" t="s">
        <v>36</v>
      </c>
      <c r="C62" s="14">
        <v>1</v>
      </c>
      <c r="D62" s="14">
        <v>113</v>
      </c>
      <c r="E62" s="14">
        <v>3</v>
      </c>
      <c r="F62" s="14" t="s">
        <v>35</v>
      </c>
      <c r="G62" s="15"/>
      <c r="H62" s="15"/>
      <c r="I62" s="43"/>
    </row>
    <row r="63" spans="1:9" x14ac:dyDescent="0.25">
      <c r="A63" s="44"/>
      <c r="B63" s="14" t="s">
        <v>39</v>
      </c>
      <c r="C63" s="14">
        <v>1</v>
      </c>
      <c r="D63" s="14">
        <v>68</v>
      </c>
      <c r="E63" s="14">
        <v>4</v>
      </c>
      <c r="F63" s="14" t="s">
        <v>35</v>
      </c>
      <c r="G63" s="15"/>
      <c r="H63" s="15"/>
      <c r="I63" s="43"/>
    </row>
    <row r="64" spans="1:9" x14ac:dyDescent="0.25">
      <c r="A64" s="30"/>
      <c r="B64" s="31"/>
      <c r="C64" s="32"/>
      <c r="D64" s="32"/>
      <c r="E64" s="32"/>
      <c r="F64" s="32"/>
      <c r="G64" s="41"/>
      <c r="H64" s="41"/>
      <c r="I64" s="33"/>
    </row>
    <row r="65" spans="1:9" x14ac:dyDescent="0.25">
      <c r="A65" s="4" t="s">
        <v>92</v>
      </c>
      <c r="B65" s="14" t="s">
        <v>17</v>
      </c>
      <c r="C65" s="14">
        <v>2</v>
      </c>
      <c r="D65" s="14">
        <v>160</v>
      </c>
      <c r="E65" s="14">
        <v>3</v>
      </c>
      <c r="F65" s="14" t="s">
        <v>35</v>
      </c>
      <c r="G65" s="15"/>
      <c r="H65" s="15"/>
      <c r="I65" s="43" t="s">
        <v>106</v>
      </c>
    </row>
    <row r="66" spans="1:9" x14ac:dyDescent="0.25">
      <c r="A66" s="44"/>
      <c r="B66" s="14" t="s">
        <v>26</v>
      </c>
      <c r="C66" s="14">
        <v>2</v>
      </c>
      <c r="D66" s="14">
        <v>248</v>
      </c>
      <c r="E66" s="14">
        <v>4</v>
      </c>
      <c r="F66" s="14" t="s">
        <v>35</v>
      </c>
      <c r="G66" s="15"/>
      <c r="H66" s="15"/>
      <c r="I66" s="43"/>
    </row>
    <row r="67" spans="1:9" x14ac:dyDescent="0.25">
      <c r="A67" s="44"/>
      <c r="B67" s="14" t="s">
        <v>32</v>
      </c>
      <c r="C67" s="14">
        <v>1</v>
      </c>
      <c r="D67" s="14">
        <v>184</v>
      </c>
      <c r="E67" s="14">
        <v>2</v>
      </c>
      <c r="F67" s="14" t="s">
        <v>35</v>
      </c>
      <c r="G67" s="15"/>
      <c r="H67" s="15"/>
      <c r="I67" s="43"/>
    </row>
    <row r="68" spans="1:9" x14ac:dyDescent="0.25">
      <c r="A68" s="44"/>
      <c r="B68" s="14" t="s">
        <v>42</v>
      </c>
      <c r="C68" s="14">
        <v>1</v>
      </c>
      <c r="D68" s="14">
        <v>90</v>
      </c>
      <c r="E68" s="14">
        <v>1</v>
      </c>
      <c r="F68" s="14" t="s">
        <v>34</v>
      </c>
      <c r="G68" s="14" t="s">
        <v>107</v>
      </c>
      <c r="H68" s="42" t="s">
        <v>108</v>
      </c>
      <c r="I68" s="43"/>
    </row>
    <row r="69" spans="1:9" x14ac:dyDescent="0.25">
      <c r="A69" s="44"/>
      <c r="B69" s="14" t="s">
        <v>44</v>
      </c>
      <c r="C69" s="14">
        <v>1</v>
      </c>
      <c r="D69" s="14">
        <v>199</v>
      </c>
      <c r="E69" s="14">
        <v>3</v>
      </c>
      <c r="F69" s="14" t="s">
        <v>36</v>
      </c>
      <c r="G69" s="14" t="s">
        <v>54</v>
      </c>
      <c r="H69" s="42" t="s">
        <v>108</v>
      </c>
      <c r="I69" s="43"/>
    </row>
    <row r="70" spans="1:9" x14ac:dyDescent="0.25">
      <c r="A70" s="44"/>
      <c r="B70" s="14" t="s">
        <v>45</v>
      </c>
      <c r="C70" s="14">
        <v>2</v>
      </c>
      <c r="D70" s="14">
        <v>177</v>
      </c>
      <c r="E70" s="14">
        <v>2</v>
      </c>
      <c r="F70" s="14" t="s">
        <v>39</v>
      </c>
      <c r="G70" s="14" t="s">
        <v>54</v>
      </c>
      <c r="H70" s="42" t="s">
        <v>109</v>
      </c>
      <c r="I70" s="43"/>
    </row>
    <row r="71" spans="1:9" x14ac:dyDescent="0.25">
      <c r="A71" s="30"/>
      <c r="B71" s="31"/>
      <c r="C71" s="32"/>
      <c r="D71" s="32"/>
      <c r="E71" s="32"/>
      <c r="F71" s="32"/>
      <c r="G71" s="41"/>
      <c r="H71" s="41"/>
      <c r="I71" s="33"/>
    </row>
    <row r="72" spans="1:9" x14ac:dyDescent="0.25">
      <c r="A72" s="4" t="s">
        <v>105</v>
      </c>
      <c r="B72" s="14" t="s">
        <v>16</v>
      </c>
      <c r="C72" s="14">
        <v>2</v>
      </c>
      <c r="D72" s="14">
        <v>214</v>
      </c>
      <c r="E72" s="14">
        <v>4</v>
      </c>
      <c r="F72" s="14" t="s">
        <v>16</v>
      </c>
      <c r="G72" s="42" t="s">
        <v>54</v>
      </c>
      <c r="H72" s="42" t="s">
        <v>111</v>
      </c>
      <c r="I72" s="43" t="s">
        <v>112</v>
      </c>
    </row>
    <row r="73" spans="1:9" x14ac:dyDescent="0.25">
      <c r="A73" s="44"/>
      <c r="B73" s="14" t="s">
        <v>24</v>
      </c>
      <c r="C73" s="14">
        <v>1</v>
      </c>
      <c r="D73" s="14">
        <v>112</v>
      </c>
      <c r="E73" s="14">
        <v>2</v>
      </c>
      <c r="F73" s="14" t="s">
        <v>24</v>
      </c>
      <c r="G73" s="14" t="s">
        <v>18</v>
      </c>
      <c r="H73" s="42" t="s">
        <v>113</v>
      </c>
      <c r="I73" s="43"/>
    </row>
    <row r="74" spans="1:9" x14ac:dyDescent="0.25">
      <c r="A74" s="44"/>
      <c r="B74" s="14" t="s">
        <v>27</v>
      </c>
      <c r="C74" s="14">
        <v>1</v>
      </c>
      <c r="D74" s="14">
        <v>35</v>
      </c>
      <c r="E74" s="14">
        <v>2</v>
      </c>
      <c r="F74" s="14" t="s">
        <v>27</v>
      </c>
      <c r="G74" s="14" t="s">
        <v>54</v>
      </c>
      <c r="H74" s="42" t="s">
        <v>111</v>
      </c>
      <c r="I74" s="43"/>
    </row>
    <row r="75" spans="1:9" x14ac:dyDescent="0.25">
      <c r="A75" s="44"/>
      <c r="B75" s="14" t="s">
        <v>34</v>
      </c>
      <c r="C75" s="14">
        <v>1</v>
      </c>
      <c r="D75" s="14">
        <v>33</v>
      </c>
      <c r="E75" s="14">
        <v>1</v>
      </c>
      <c r="F75" s="14" t="s">
        <v>35</v>
      </c>
      <c r="G75" s="15"/>
      <c r="H75" s="15"/>
      <c r="I75" s="43"/>
    </row>
    <row r="76" spans="1:9" x14ac:dyDescent="0.25">
      <c r="A76" s="44"/>
      <c r="B76" s="14" t="s">
        <v>36</v>
      </c>
      <c r="C76" s="14">
        <v>1</v>
      </c>
      <c r="D76" s="14">
        <v>104</v>
      </c>
      <c r="E76" s="14">
        <v>4</v>
      </c>
      <c r="F76" s="14" t="s">
        <v>35</v>
      </c>
      <c r="G76" s="15"/>
      <c r="H76" s="15"/>
      <c r="I76" s="43"/>
    </row>
    <row r="77" spans="1:9" x14ac:dyDescent="0.25">
      <c r="A77" s="44"/>
      <c r="B77" s="14" t="s">
        <v>39</v>
      </c>
      <c r="C77" s="14">
        <v>1</v>
      </c>
      <c r="D77" s="14">
        <v>37</v>
      </c>
      <c r="E77" s="14">
        <v>3</v>
      </c>
      <c r="F77" s="14" t="s">
        <v>35</v>
      </c>
      <c r="G77" s="15"/>
      <c r="H77" s="15"/>
      <c r="I77" s="43"/>
    </row>
    <row r="78" spans="1:9" x14ac:dyDescent="0.25">
      <c r="A78" s="30"/>
      <c r="B78" s="31"/>
      <c r="C78" s="32"/>
      <c r="D78" s="32"/>
      <c r="E78" s="32"/>
      <c r="F78" s="32"/>
      <c r="G78" s="41"/>
      <c r="H78" s="41"/>
      <c r="I78" s="33"/>
    </row>
    <row r="79" spans="1:9" x14ac:dyDescent="0.25">
      <c r="A79" s="4" t="s">
        <v>110</v>
      </c>
      <c r="B79" s="14" t="s">
        <v>17</v>
      </c>
      <c r="C79" s="14">
        <v>1</v>
      </c>
      <c r="D79" s="14">
        <v>67</v>
      </c>
      <c r="E79" s="14">
        <v>1</v>
      </c>
      <c r="F79" s="14" t="s">
        <v>35</v>
      </c>
      <c r="G79" s="15"/>
      <c r="H79" s="15"/>
      <c r="I79" s="43" t="s">
        <v>115</v>
      </c>
    </row>
    <row r="80" spans="1:9" x14ac:dyDescent="0.25">
      <c r="A80" s="44"/>
      <c r="B80" s="14" t="s">
        <v>26</v>
      </c>
      <c r="C80" s="14">
        <v>1</v>
      </c>
      <c r="D80" s="14">
        <v>22</v>
      </c>
      <c r="E80" s="14">
        <v>2</v>
      </c>
      <c r="F80" s="14" t="s">
        <v>35</v>
      </c>
      <c r="G80" s="15"/>
      <c r="H80" s="15"/>
      <c r="I80" s="43"/>
    </row>
    <row r="81" spans="1:9" x14ac:dyDescent="0.25">
      <c r="A81" s="44"/>
      <c r="B81" s="14" t="s">
        <v>32</v>
      </c>
      <c r="C81" s="14">
        <v>1</v>
      </c>
      <c r="D81" s="14">
        <v>12</v>
      </c>
      <c r="E81" s="14">
        <v>1</v>
      </c>
      <c r="F81" s="14" t="s">
        <v>35</v>
      </c>
      <c r="G81" s="15"/>
      <c r="H81" s="15"/>
      <c r="I81" s="43"/>
    </row>
    <row r="82" spans="1:9" x14ac:dyDescent="0.25">
      <c r="A82" s="44"/>
      <c r="B82" s="14" t="s">
        <v>42</v>
      </c>
      <c r="C82" s="14">
        <v>1</v>
      </c>
      <c r="D82" s="14">
        <v>15</v>
      </c>
      <c r="E82" s="14">
        <v>1</v>
      </c>
      <c r="F82" s="14" t="s">
        <v>34</v>
      </c>
      <c r="G82" s="14" t="s">
        <v>54</v>
      </c>
      <c r="H82" s="42" t="s">
        <v>117</v>
      </c>
      <c r="I82" s="43"/>
    </row>
    <row r="83" spans="1:9" x14ac:dyDescent="0.25">
      <c r="A83" s="44"/>
      <c r="B83" s="14" t="s">
        <v>44</v>
      </c>
      <c r="C83" s="14">
        <v>2</v>
      </c>
      <c r="D83" s="14">
        <v>60</v>
      </c>
      <c r="E83" s="14">
        <v>3</v>
      </c>
      <c r="F83" s="14" t="s">
        <v>36</v>
      </c>
      <c r="G83" s="14" t="s">
        <v>107</v>
      </c>
      <c r="H83" s="42" t="s">
        <v>117</v>
      </c>
      <c r="I83" s="43"/>
    </row>
    <row r="84" spans="1:9" x14ac:dyDescent="0.25">
      <c r="A84" s="44"/>
      <c r="B84" s="14" t="s">
        <v>45</v>
      </c>
      <c r="C84" s="14">
        <v>1</v>
      </c>
      <c r="D84" s="14">
        <v>25</v>
      </c>
      <c r="E84" s="14">
        <v>3</v>
      </c>
      <c r="F84" s="14" t="s">
        <v>39</v>
      </c>
      <c r="G84" s="14" t="s">
        <v>107</v>
      </c>
      <c r="H84" s="42" t="s">
        <v>119</v>
      </c>
      <c r="I84" s="43"/>
    </row>
    <row r="85" spans="1:9" x14ac:dyDescent="0.25">
      <c r="A85" s="30"/>
      <c r="B85" s="31"/>
      <c r="C85" s="32"/>
      <c r="D85" s="32"/>
      <c r="E85" s="32"/>
      <c r="F85" s="32"/>
      <c r="G85" s="48"/>
      <c r="H85" s="48"/>
      <c r="I85" s="33"/>
    </row>
    <row r="86" spans="1:9" x14ac:dyDescent="0.25">
      <c r="A86" s="4" t="s">
        <v>116</v>
      </c>
      <c r="B86" s="14" t="s">
        <v>16</v>
      </c>
      <c r="C86" s="14">
        <v>1</v>
      </c>
      <c r="D86" s="14">
        <v>107</v>
      </c>
      <c r="E86" s="14">
        <v>2</v>
      </c>
      <c r="F86" s="14" t="s">
        <v>17</v>
      </c>
      <c r="G86" s="42" t="s">
        <v>54</v>
      </c>
      <c r="H86" s="42" t="s">
        <v>121</v>
      </c>
      <c r="I86" s="43" t="s">
        <v>122</v>
      </c>
    </row>
    <row r="87" spans="1:9" x14ac:dyDescent="0.25">
      <c r="A87" s="44"/>
      <c r="B87" s="14" t="s">
        <v>24</v>
      </c>
      <c r="C87" s="14">
        <v>1</v>
      </c>
      <c r="D87" s="14">
        <v>55</v>
      </c>
      <c r="E87" s="14">
        <v>1</v>
      </c>
      <c r="F87" s="14" t="s">
        <v>24</v>
      </c>
      <c r="G87" s="14" t="s">
        <v>54</v>
      </c>
      <c r="H87" s="42" t="s">
        <v>123</v>
      </c>
      <c r="I87" s="43"/>
    </row>
    <row r="88" spans="1:9" x14ac:dyDescent="0.25">
      <c r="A88" s="44"/>
      <c r="B88" s="14" t="s">
        <v>27</v>
      </c>
      <c r="C88" s="14">
        <v>1</v>
      </c>
      <c r="D88" s="14">
        <v>30</v>
      </c>
      <c r="E88" s="14">
        <v>1</v>
      </c>
      <c r="F88" s="14" t="s">
        <v>27</v>
      </c>
      <c r="G88" s="14" t="s">
        <v>60</v>
      </c>
      <c r="H88" s="42" t="s">
        <v>124</v>
      </c>
      <c r="I88" s="43"/>
    </row>
    <row r="89" spans="1:9" x14ac:dyDescent="0.25">
      <c r="A89" s="44"/>
      <c r="B89" s="14" t="s">
        <v>34</v>
      </c>
      <c r="C89" s="14">
        <v>1</v>
      </c>
      <c r="D89" s="14">
        <v>19</v>
      </c>
      <c r="E89" s="14">
        <v>1</v>
      </c>
      <c r="F89" s="14" t="s">
        <v>35</v>
      </c>
      <c r="G89" s="15"/>
      <c r="H89" s="15"/>
      <c r="I89" s="43"/>
    </row>
    <row r="90" spans="1:9" x14ac:dyDescent="0.25">
      <c r="A90" s="44"/>
      <c r="B90" s="14" t="s">
        <v>36</v>
      </c>
      <c r="C90" s="14">
        <v>1</v>
      </c>
      <c r="D90" s="14">
        <v>66</v>
      </c>
      <c r="E90" s="14">
        <v>2</v>
      </c>
      <c r="F90" s="14" t="s">
        <v>35</v>
      </c>
      <c r="G90" s="15"/>
      <c r="H90" s="15"/>
      <c r="I90" s="43"/>
    </row>
    <row r="91" spans="1:9" x14ac:dyDescent="0.25">
      <c r="A91" s="44"/>
      <c r="B91" s="14" t="s">
        <v>39</v>
      </c>
      <c r="C91" s="14">
        <v>1</v>
      </c>
      <c r="D91" s="14">
        <v>46</v>
      </c>
      <c r="E91" s="14">
        <v>2</v>
      </c>
      <c r="F91" s="14" t="s">
        <v>35</v>
      </c>
      <c r="G91" s="15"/>
      <c r="H91" s="15"/>
      <c r="I91" s="43"/>
    </row>
    <row r="92" spans="1:9" x14ac:dyDescent="0.25">
      <c r="A92" s="30"/>
      <c r="B92" s="31"/>
      <c r="C92" s="32"/>
      <c r="D92" s="32"/>
      <c r="E92" s="32"/>
      <c r="F92" s="32"/>
      <c r="G92" s="41"/>
      <c r="H92" s="41"/>
      <c r="I92" s="33"/>
    </row>
    <row r="93" spans="1:9" x14ac:dyDescent="0.25">
      <c r="A93" s="4" t="s">
        <v>125</v>
      </c>
      <c r="B93" s="14" t="s">
        <v>17</v>
      </c>
      <c r="C93" s="14">
        <v>1</v>
      </c>
      <c r="D93" s="14">
        <v>39</v>
      </c>
      <c r="E93" s="14">
        <v>1</v>
      </c>
      <c r="F93" s="14" t="s">
        <v>35</v>
      </c>
      <c r="G93" s="15"/>
      <c r="H93" s="15"/>
      <c r="I93" s="43" t="s">
        <v>127</v>
      </c>
    </row>
    <row r="94" spans="1:9" x14ac:dyDescent="0.25">
      <c r="A94" s="44"/>
      <c r="B94" s="14" t="s">
        <v>26</v>
      </c>
      <c r="C94" s="14">
        <v>3</v>
      </c>
      <c r="D94" s="14">
        <v>114</v>
      </c>
      <c r="E94" s="14">
        <v>3</v>
      </c>
      <c r="F94" s="14" t="s">
        <v>35</v>
      </c>
      <c r="G94" s="15"/>
      <c r="H94" s="15"/>
      <c r="I94" s="43"/>
    </row>
    <row r="95" spans="1:9" x14ac:dyDescent="0.25">
      <c r="A95" s="44"/>
      <c r="B95" s="14" t="s">
        <v>32</v>
      </c>
      <c r="C95" s="14">
        <v>1</v>
      </c>
      <c r="D95" s="14">
        <v>16</v>
      </c>
      <c r="E95" s="14">
        <v>3</v>
      </c>
      <c r="F95" s="14" t="s">
        <v>35</v>
      </c>
      <c r="G95" s="15"/>
      <c r="H95" s="15"/>
      <c r="I95" s="43"/>
    </row>
    <row r="96" spans="1:9" x14ac:dyDescent="0.25">
      <c r="A96" s="44"/>
      <c r="B96" s="14" t="s">
        <v>42</v>
      </c>
      <c r="C96" s="14">
        <v>1</v>
      </c>
      <c r="D96" s="14">
        <v>12</v>
      </c>
      <c r="E96" s="14">
        <v>1</v>
      </c>
      <c r="F96" s="14" t="s">
        <v>34</v>
      </c>
      <c r="G96" s="14" t="s">
        <v>54</v>
      </c>
      <c r="H96" s="42" t="s">
        <v>129</v>
      </c>
      <c r="I96" s="43"/>
    </row>
    <row r="97" spans="1:9" x14ac:dyDescent="0.25">
      <c r="A97" s="44"/>
      <c r="B97" s="14" t="s">
        <v>44</v>
      </c>
      <c r="C97" s="14">
        <v>1</v>
      </c>
      <c r="D97" s="14">
        <v>41</v>
      </c>
      <c r="E97" s="14">
        <v>1</v>
      </c>
      <c r="F97" s="14" t="s">
        <v>36</v>
      </c>
      <c r="G97" s="14" t="s">
        <v>54</v>
      </c>
      <c r="H97" s="42" t="s">
        <v>129</v>
      </c>
      <c r="I97" s="43"/>
    </row>
    <row r="98" spans="1:9" x14ac:dyDescent="0.25">
      <c r="A98" s="44"/>
      <c r="B98" s="14" t="s">
        <v>45</v>
      </c>
      <c r="C98" s="14">
        <v>1</v>
      </c>
      <c r="D98" s="14">
        <v>9</v>
      </c>
      <c r="E98" s="14">
        <v>1</v>
      </c>
      <c r="F98" s="14" t="s">
        <v>39</v>
      </c>
      <c r="G98" s="14" t="s">
        <v>54</v>
      </c>
      <c r="H98" s="42" t="s">
        <v>129</v>
      </c>
      <c r="I98" s="43"/>
    </row>
    <row r="99" spans="1:9" x14ac:dyDescent="0.25">
      <c r="A99" s="30"/>
      <c r="B99" s="31"/>
      <c r="C99" s="32"/>
      <c r="D99" s="32"/>
      <c r="E99" s="32"/>
      <c r="F99" s="32"/>
      <c r="G99" s="48"/>
      <c r="H99" s="48"/>
      <c r="I99" s="33"/>
    </row>
    <row r="100" spans="1:9" x14ac:dyDescent="0.25">
      <c r="A100" s="4" t="s">
        <v>131</v>
      </c>
      <c r="B100" s="14" t="s">
        <v>16</v>
      </c>
      <c r="C100" s="14">
        <v>1</v>
      </c>
      <c r="D100" s="14">
        <v>137</v>
      </c>
      <c r="E100" s="14">
        <v>1</v>
      </c>
      <c r="F100" s="14" t="s">
        <v>17</v>
      </c>
      <c r="G100" s="42" t="s">
        <v>54</v>
      </c>
      <c r="H100" s="42" t="s">
        <v>132</v>
      </c>
      <c r="I100" s="43" t="s">
        <v>133</v>
      </c>
    </row>
    <row r="101" spans="1:9" x14ac:dyDescent="0.25">
      <c r="A101" s="44"/>
      <c r="B101" s="14" t="s">
        <v>24</v>
      </c>
      <c r="C101" s="14">
        <v>1</v>
      </c>
      <c r="D101" s="14">
        <v>89</v>
      </c>
      <c r="E101" s="14">
        <v>2</v>
      </c>
      <c r="F101" s="14" t="s">
        <v>24</v>
      </c>
      <c r="G101" s="14" t="s">
        <v>60</v>
      </c>
      <c r="H101" s="42" t="s">
        <v>134</v>
      </c>
      <c r="I101" s="43"/>
    </row>
    <row r="102" spans="1:9" x14ac:dyDescent="0.25">
      <c r="A102" s="44"/>
      <c r="B102" s="14" t="s">
        <v>27</v>
      </c>
      <c r="C102" s="14">
        <v>1</v>
      </c>
      <c r="D102" s="14">
        <v>32</v>
      </c>
      <c r="E102" s="14">
        <v>1</v>
      </c>
      <c r="F102" s="14" t="s">
        <v>27</v>
      </c>
      <c r="G102" s="14" t="s">
        <v>60</v>
      </c>
      <c r="H102" s="42" t="s">
        <v>134</v>
      </c>
      <c r="I102" s="43"/>
    </row>
    <row r="103" spans="1:9" x14ac:dyDescent="0.25">
      <c r="A103" s="44"/>
      <c r="B103" s="14" t="s">
        <v>34</v>
      </c>
      <c r="C103" s="14">
        <v>1</v>
      </c>
      <c r="D103" s="14">
        <v>78</v>
      </c>
      <c r="E103" s="14">
        <v>2</v>
      </c>
      <c r="F103" s="14" t="s">
        <v>35</v>
      </c>
      <c r="G103" s="15"/>
      <c r="H103" s="15"/>
      <c r="I103" s="43"/>
    </row>
    <row r="104" spans="1:9" x14ac:dyDescent="0.25">
      <c r="A104" s="44"/>
      <c r="B104" s="14" t="s">
        <v>36</v>
      </c>
      <c r="C104" s="14">
        <v>2</v>
      </c>
      <c r="D104" s="14">
        <v>153</v>
      </c>
      <c r="E104" s="14">
        <v>4</v>
      </c>
      <c r="F104" s="14" t="s">
        <v>35</v>
      </c>
      <c r="G104" s="15"/>
      <c r="H104" s="15"/>
      <c r="I104" s="43"/>
    </row>
    <row r="105" spans="1:9" x14ac:dyDescent="0.25">
      <c r="A105" s="44"/>
      <c r="B105" s="14" t="s">
        <v>39</v>
      </c>
      <c r="C105" s="14">
        <v>1</v>
      </c>
      <c r="D105" s="14">
        <v>79</v>
      </c>
      <c r="E105" s="14">
        <v>2</v>
      </c>
      <c r="F105" s="14" t="s">
        <v>35</v>
      </c>
      <c r="G105" s="15"/>
      <c r="H105" s="15"/>
      <c r="I105" s="43"/>
    </row>
    <row r="106" spans="1:9" x14ac:dyDescent="0.25">
      <c r="A106" s="30"/>
      <c r="B106" s="31"/>
      <c r="C106" s="32"/>
      <c r="D106" s="32"/>
      <c r="E106" s="32"/>
      <c r="F106" s="32"/>
      <c r="G106" s="41"/>
      <c r="H106" s="41"/>
      <c r="I106" s="33"/>
    </row>
    <row r="107" spans="1:9" x14ac:dyDescent="0.25">
      <c r="A107" s="4" t="s">
        <v>135</v>
      </c>
      <c r="B107" s="14" t="s">
        <v>17</v>
      </c>
      <c r="C107" s="14">
        <v>1</v>
      </c>
      <c r="D107" s="14">
        <v>169</v>
      </c>
      <c r="E107" s="14">
        <v>1</v>
      </c>
      <c r="F107" s="14" t="s">
        <v>35</v>
      </c>
      <c r="G107" s="15"/>
      <c r="H107" s="15"/>
      <c r="I107" s="43" t="s">
        <v>136</v>
      </c>
    </row>
    <row r="108" spans="1:9" x14ac:dyDescent="0.25">
      <c r="A108" s="44"/>
      <c r="B108" s="14" t="s">
        <v>26</v>
      </c>
      <c r="C108" s="14">
        <v>1</v>
      </c>
      <c r="D108" s="14">
        <v>70</v>
      </c>
      <c r="E108" s="14">
        <v>1</v>
      </c>
      <c r="F108" s="14" t="s">
        <v>35</v>
      </c>
      <c r="G108" s="15"/>
      <c r="H108" s="15"/>
      <c r="I108" s="43"/>
    </row>
    <row r="109" spans="1:9" x14ac:dyDescent="0.25">
      <c r="A109" s="44"/>
      <c r="B109" s="14" t="s">
        <v>32</v>
      </c>
      <c r="C109" s="14">
        <v>1</v>
      </c>
      <c r="D109" s="14">
        <v>48</v>
      </c>
      <c r="E109" s="14">
        <v>2</v>
      </c>
      <c r="F109" s="14" t="s">
        <v>35</v>
      </c>
      <c r="G109" s="15"/>
      <c r="H109" s="15"/>
      <c r="I109" s="43"/>
    </row>
    <row r="110" spans="1:9" x14ac:dyDescent="0.25">
      <c r="A110" s="44"/>
      <c r="B110" s="14" t="s">
        <v>42</v>
      </c>
      <c r="C110" s="14">
        <v>1</v>
      </c>
      <c r="D110" s="14">
        <v>78</v>
      </c>
      <c r="E110" s="14">
        <v>2</v>
      </c>
      <c r="F110" s="14" t="s">
        <v>42</v>
      </c>
      <c r="G110" s="14" t="s">
        <v>107</v>
      </c>
      <c r="H110" s="42" t="s">
        <v>137</v>
      </c>
      <c r="I110" s="43"/>
    </row>
    <row r="111" spans="1:9" x14ac:dyDescent="0.25">
      <c r="A111" s="44"/>
      <c r="B111" s="14" t="s">
        <v>44</v>
      </c>
      <c r="C111" s="14">
        <v>2</v>
      </c>
      <c r="D111" s="14">
        <v>346</v>
      </c>
      <c r="E111" s="14">
        <v>4</v>
      </c>
      <c r="F111" s="14" t="s">
        <v>44</v>
      </c>
      <c r="G111" s="14" t="s">
        <v>54</v>
      </c>
      <c r="H111" s="42" t="s">
        <v>138</v>
      </c>
      <c r="I111" s="43"/>
    </row>
    <row r="112" spans="1:9" x14ac:dyDescent="0.25">
      <c r="A112" s="44"/>
      <c r="B112" s="14" t="s">
        <v>45</v>
      </c>
      <c r="C112" s="14">
        <v>1</v>
      </c>
      <c r="D112" s="14">
        <v>78</v>
      </c>
      <c r="E112" s="14">
        <v>4</v>
      </c>
      <c r="F112" s="14" t="s">
        <v>39</v>
      </c>
      <c r="G112" s="14" t="s">
        <v>60</v>
      </c>
      <c r="H112" s="42" t="s">
        <v>139</v>
      </c>
      <c r="I112" s="43"/>
    </row>
    <row r="113" spans="1:9" x14ac:dyDescent="0.25">
      <c r="A113" s="30"/>
      <c r="B113" s="31"/>
      <c r="C113" s="32"/>
      <c r="D113" s="32"/>
      <c r="E113" s="32"/>
      <c r="F113" s="32"/>
      <c r="G113" s="48"/>
      <c r="H113" s="48"/>
      <c r="I113" s="33"/>
    </row>
    <row r="114" spans="1:9" x14ac:dyDescent="0.25">
      <c r="A114" s="4" t="s">
        <v>140</v>
      </c>
      <c r="B114" s="14" t="s">
        <v>16</v>
      </c>
      <c r="C114" s="14">
        <v>2</v>
      </c>
      <c r="D114" s="14">
        <v>188</v>
      </c>
      <c r="E114" s="14">
        <v>3</v>
      </c>
      <c r="F114" s="14" t="s">
        <v>16</v>
      </c>
      <c r="G114" s="42" t="s">
        <v>54</v>
      </c>
      <c r="H114" s="42" t="s">
        <v>141</v>
      </c>
      <c r="I114" s="43" t="s">
        <v>142</v>
      </c>
    </row>
    <row r="115" spans="1:9" x14ac:dyDescent="0.25">
      <c r="A115" s="44"/>
      <c r="B115" s="14" t="s">
        <v>24</v>
      </c>
      <c r="C115" s="14">
        <v>1</v>
      </c>
      <c r="D115" s="14">
        <v>89</v>
      </c>
      <c r="E115" s="14">
        <v>2</v>
      </c>
      <c r="F115" s="14" t="s">
        <v>26</v>
      </c>
      <c r="G115" s="14" t="s">
        <v>107</v>
      </c>
      <c r="H115" s="42" t="s">
        <v>143</v>
      </c>
      <c r="I115" s="43"/>
    </row>
    <row r="116" spans="1:9" x14ac:dyDescent="0.25">
      <c r="A116" s="44"/>
      <c r="B116" s="14" t="s">
        <v>27</v>
      </c>
      <c r="C116" s="14">
        <v>1</v>
      </c>
      <c r="D116" s="14">
        <v>28</v>
      </c>
      <c r="E116" s="14">
        <v>1</v>
      </c>
      <c r="F116" s="14" t="s">
        <v>32</v>
      </c>
      <c r="G116" s="14" t="s">
        <v>54</v>
      </c>
      <c r="H116" s="42" t="s">
        <v>144</v>
      </c>
      <c r="I116" s="43"/>
    </row>
    <row r="117" spans="1:9" x14ac:dyDescent="0.25">
      <c r="A117" s="44"/>
      <c r="B117" s="14" t="s">
        <v>34</v>
      </c>
      <c r="C117" s="14">
        <v>1</v>
      </c>
      <c r="D117" s="14">
        <v>21</v>
      </c>
      <c r="E117" s="14">
        <v>1</v>
      </c>
      <c r="F117" s="14" t="s">
        <v>35</v>
      </c>
      <c r="G117" s="15"/>
      <c r="H117" s="15"/>
      <c r="I117" s="43"/>
    </row>
    <row r="118" spans="1:9" x14ac:dyDescent="0.25">
      <c r="A118" s="44"/>
      <c r="B118" s="14" t="s">
        <v>36</v>
      </c>
      <c r="C118" s="14">
        <v>1</v>
      </c>
      <c r="D118" s="14">
        <v>85</v>
      </c>
      <c r="E118" s="14">
        <v>3</v>
      </c>
      <c r="F118" s="14" t="s">
        <v>35</v>
      </c>
      <c r="G118" s="15"/>
      <c r="H118" s="15"/>
      <c r="I118" s="43"/>
    </row>
    <row r="119" spans="1:9" x14ac:dyDescent="0.25">
      <c r="A119" s="44"/>
      <c r="B119" s="14" t="s">
        <v>39</v>
      </c>
      <c r="C119" s="14">
        <v>1</v>
      </c>
      <c r="D119" s="14">
        <v>47</v>
      </c>
      <c r="E119" s="14">
        <v>4</v>
      </c>
      <c r="F119" s="14" t="s">
        <v>35</v>
      </c>
      <c r="G119" s="15"/>
      <c r="H119" s="15"/>
      <c r="I119" s="43"/>
    </row>
    <row r="120" spans="1:9" x14ac:dyDescent="0.25">
      <c r="A120" s="30"/>
      <c r="B120" s="31"/>
      <c r="C120" s="32"/>
      <c r="D120" s="32"/>
      <c r="E120" s="32"/>
      <c r="F120" s="32"/>
      <c r="G120" s="41"/>
      <c r="H120" s="41"/>
      <c r="I120" s="33"/>
    </row>
    <row r="121" spans="1:9" x14ac:dyDescent="0.25">
      <c r="A121" s="4" t="s">
        <v>147</v>
      </c>
      <c r="B121" s="14" t="s">
        <v>17</v>
      </c>
      <c r="C121" s="14">
        <v>1</v>
      </c>
      <c r="D121" s="14">
        <v>96</v>
      </c>
      <c r="E121" s="14">
        <v>4</v>
      </c>
      <c r="F121" s="14" t="s">
        <v>35</v>
      </c>
      <c r="G121" s="15"/>
      <c r="H121" s="15"/>
      <c r="I121" s="43" t="s">
        <v>151</v>
      </c>
    </row>
    <row r="122" spans="1:9" x14ac:dyDescent="0.25">
      <c r="A122" s="44"/>
      <c r="B122" s="14" t="s">
        <v>26</v>
      </c>
      <c r="C122" s="14">
        <v>1</v>
      </c>
      <c r="D122" s="14">
        <v>100</v>
      </c>
      <c r="E122" s="14">
        <v>3</v>
      </c>
      <c r="F122" s="14" t="s">
        <v>35</v>
      </c>
      <c r="G122" s="15"/>
      <c r="H122" s="15"/>
      <c r="I122" s="43"/>
    </row>
    <row r="123" spans="1:9" x14ac:dyDescent="0.25">
      <c r="A123" s="44"/>
      <c r="B123" s="14" t="s">
        <v>32</v>
      </c>
      <c r="C123" s="14">
        <v>1</v>
      </c>
      <c r="D123" s="14">
        <v>50</v>
      </c>
      <c r="E123" s="14">
        <v>1</v>
      </c>
      <c r="F123" s="14" t="s">
        <v>35</v>
      </c>
      <c r="G123" s="15"/>
      <c r="H123" s="15"/>
      <c r="I123" s="43"/>
    </row>
    <row r="124" spans="1:9" x14ac:dyDescent="0.25">
      <c r="A124" s="44"/>
      <c r="B124" s="14" t="s">
        <v>42</v>
      </c>
      <c r="C124" s="14">
        <v>1</v>
      </c>
      <c r="D124" s="14">
        <v>59</v>
      </c>
      <c r="E124" s="14">
        <v>4</v>
      </c>
      <c r="F124" s="14" t="s">
        <v>34</v>
      </c>
      <c r="G124" s="14" t="s">
        <v>107</v>
      </c>
      <c r="H124" s="42" t="s">
        <v>153</v>
      </c>
      <c r="I124" s="43"/>
    </row>
    <row r="125" spans="1:9" x14ac:dyDescent="0.25">
      <c r="A125" s="44"/>
      <c r="B125" s="14" t="s">
        <v>44</v>
      </c>
      <c r="C125" s="14">
        <v>2</v>
      </c>
      <c r="D125" s="14">
        <v>168</v>
      </c>
      <c r="E125" s="14">
        <v>3</v>
      </c>
      <c r="F125" s="14" t="s">
        <v>36</v>
      </c>
      <c r="G125" s="14" t="s">
        <v>54</v>
      </c>
      <c r="H125" s="42" t="s">
        <v>154</v>
      </c>
      <c r="I125" s="43"/>
    </row>
    <row r="126" spans="1:9" x14ac:dyDescent="0.25">
      <c r="A126" s="44"/>
      <c r="B126" s="14" t="s">
        <v>45</v>
      </c>
      <c r="C126" s="14">
        <v>1</v>
      </c>
      <c r="D126" s="14">
        <v>61</v>
      </c>
      <c r="E126" s="14">
        <v>4</v>
      </c>
      <c r="F126" s="14" t="s">
        <v>39</v>
      </c>
      <c r="G126" s="14" t="s">
        <v>60</v>
      </c>
      <c r="H126" s="42" t="s">
        <v>155</v>
      </c>
      <c r="I126" s="43"/>
    </row>
    <row r="127" spans="1:9" x14ac:dyDescent="0.25">
      <c r="A127" s="30"/>
      <c r="B127" s="31"/>
      <c r="C127" s="32"/>
      <c r="D127" s="32"/>
      <c r="E127" s="32"/>
      <c r="F127" s="32"/>
      <c r="G127" s="48"/>
      <c r="H127" s="48"/>
      <c r="I127" s="33"/>
    </row>
    <row r="128" spans="1:9" x14ac:dyDescent="0.25">
      <c r="A128" s="4" t="s">
        <v>156</v>
      </c>
      <c r="B128" s="14" t="s">
        <v>16</v>
      </c>
      <c r="C128" s="14">
        <v>4</v>
      </c>
      <c r="D128" s="14">
        <v>313</v>
      </c>
      <c r="E128" s="14">
        <v>4</v>
      </c>
      <c r="F128" s="14" t="s">
        <v>16</v>
      </c>
      <c r="G128" s="42" t="s">
        <v>54</v>
      </c>
      <c r="H128" s="42" t="s">
        <v>157</v>
      </c>
      <c r="I128" s="43" t="s">
        <v>158</v>
      </c>
    </row>
    <row r="129" spans="1:9" x14ac:dyDescent="0.25">
      <c r="A129" s="44"/>
      <c r="B129" s="14" t="s">
        <v>24</v>
      </c>
      <c r="C129" s="14">
        <v>1</v>
      </c>
      <c r="D129" s="14">
        <v>67</v>
      </c>
      <c r="E129" s="14">
        <v>1</v>
      </c>
      <c r="F129" s="14" t="s">
        <v>26</v>
      </c>
      <c r="G129" s="14" t="s">
        <v>60</v>
      </c>
      <c r="H129" s="42" t="s">
        <v>159</v>
      </c>
      <c r="I129" s="43"/>
    </row>
    <row r="130" spans="1:9" x14ac:dyDescent="0.25">
      <c r="A130" s="44"/>
      <c r="B130" s="14" t="s">
        <v>27</v>
      </c>
      <c r="C130" s="14">
        <v>2</v>
      </c>
      <c r="D130" s="14">
        <v>17</v>
      </c>
      <c r="E130" s="14">
        <v>1</v>
      </c>
      <c r="F130" s="14" t="s">
        <v>27</v>
      </c>
      <c r="G130" s="14" t="s">
        <v>107</v>
      </c>
      <c r="H130" s="42" t="s">
        <v>160</v>
      </c>
      <c r="I130" s="43"/>
    </row>
    <row r="131" spans="1:9" x14ac:dyDescent="0.25">
      <c r="A131" s="44"/>
      <c r="B131" s="14" t="s">
        <v>34</v>
      </c>
      <c r="C131" s="14">
        <v>1</v>
      </c>
      <c r="D131" s="14">
        <v>71</v>
      </c>
      <c r="E131" s="14">
        <v>2</v>
      </c>
      <c r="F131" s="14" t="s">
        <v>35</v>
      </c>
      <c r="G131" s="15"/>
      <c r="H131" s="15"/>
      <c r="I131" s="43"/>
    </row>
    <row r="132" spans="1:9" x14ac:dyDescent="0.25">
      <c r="A132" s="44"/>
      <c r="B132" s="14" t="s">
        <v>36</v>
      </c>
      <c r="C132" s="14">
        <v>1</v>
      </c>
      <c r="D132" s="14">
        <v>243</v>
      </c>
      <c r="E132" s="14">
        <v>3</v>
      </c>
      <c r="F132" s="14" t="s">
        <v>35</v>
      </c>
      <c r="G132" s="15"/>
      <c r="H132" s="15"/>
      <c r="I132" s="43"/>
    </row>
    <row r="133" spans="1:9" x14ac:dyDescent="0.25">
      <c r="A133" s="44"/>
      <c r="B133" s="14" t="s">
        <v>39</v>
      </c>
      <c r="C133" s="14">
        <v>1</v>
      </c>
      <c r="D133" s="14">
        <v>40</v>
      </c>
      <c r="E133" s="14">
        <v>2</v>
      </c>
      <c r="F133" s="14" t="s">
        <v>35</v>
      </c>
      <c r="G133" s="15"/>
      <c r="H133" s="15"/>
      <c r="I133" s="43"/>
    </row>
    <row r="134" spans="1:9" x14ac:dyDescent="0.25">
      <c r="A134" s="30"/>
      <c r="B134" s="31"/>
      <c r="C134" s="32"/>
      <c r="D134" s="32"/>
      <c r="E134" s="32"/>
      <c r="F134" s="32"/>
      <c r="G134" s="41"/>
      <c r="H134" s="41"/>
      <c r="I134" s="33"/>
    </row>
    <row r="135" spans="1:9" x14ac:dyDescent="0.25">
      <c r="A135" s="4" t="s">
        <v>161</v>
      </c>
      <c r="B135" s="14" t="s">
        <v>17</v>
      </c>
      <c r="C135" s="14">
        <v>1</v>
      </c>
      <c r="D135" s="14">
        <v>78</v>
      </c>
      <c r="E135" s="14">
        <v>1</v>
      </c>
      <c r="F135" s="14" t="s">
        <v>35</v>
      </c>
      <c r="G135" s="15"/>
      <c r="H135" s="15"/>
      <c r="I135" s="43" t="s">
        <v>166</v>
      </c>
    </row>
    <row r="136" spans="1:9" x14ac:dyDescent="0.25">
      <c r="A136" s="44"/>
      <c r="B136" s="14" t="s">
        <v>26</v>
      </c>
      <c r="C136" s="14">
        <v>1</v>
      </c>
      <c r="D136" s="14">
        <v>30</v>
      </c>
      <c r="E136" s="14">
        <v>1</v>
      </c>
      <c r="F136" s="14" t="s">
        <v>35</v>
      </c>
      <c r="G136" s="15"/>
      <c r="H136" s="15"/>
      <c r="I136" s="43"/>
    </row>
    <row r="137" spans="1:9" x14ac:dyDescent="0.25">
      <c r="A137" s="44"/>
      <c r="B137" s="14" t="s">
        <v>32</v>
      </c>
      <c r="C137" s="14">
        <v>2</v>
      </c>
      <c r="D137" s="14">
        <v>111</v>
      </c>
      <c r="E137" s="14">
        <v>2</v>
      </c>
      <c r="F137" s="14" t="s">
        <v>35</v>
      </c>
      <c r="G137" s="15"/>
      <c r="H137" s="15"/>
      <c r="I137" s="43"/>
    </row>
    <row r="138" spans="1:9" x14ac:dyDescent="0.25">
      <c r="A138" s="44"/>
      <c r="B138" s="14" t="s">
        <v>42</v>
      </c>
      <c r="C138" s="14">
        <v>1</v>
      </c>
      <c r="D138" s="14">
        <v>24</v>
      </c>
      <c r="E138" s="14">
        <v>1</v>
      </c>
      <c r="F138" s="14" t="s">
        <v>34</v>
      </c>
      <c r="G138" s="14" t="s">
        <v>107</v>
      </c>
      <c r="H138" s="42" t="s">
        <v>153</v>
      </c>
      <c r="I138" s="43"/>
    </row>
    <row r="139" spans="1:9" x14ac:dyDescent="0.25">
      <c r="A139" s="44"/>
      <c r="B139" s="14" t="s">
        <v>44</v>
      </c>
      <c r="C139" s="14">
        <v>4</v>
      </c>
      <c r="D139" s="14">
        <v>199</v>
      </c>
      <c r="E139" s="14">
        <v>4</v>
      </c>
      <c r="F139" s="14" t="s">
        <v>36</v>
      </c>
      <c r="G139" s="14" t="s">
        <v>107</v>
      </c>
      <c r="H139" s="42" t="s">
        <v>153</v>
      </c>
      <c r="I139" s="43"/>
    </row>
    <row r="140" spans="1:9" x14ac:dyDescent="0.25">
      <c r="A140" s="44"/>
      <c r="B140" s="14" t="s">
        <v>45</v>
      </c>
      <c r="C140" s="14">
        <v>1</v>
      </c>
      <c r="D140" s="14">
        <v>23</v>
      </c>
      <c r="E140" s="14">
        <v>1</v>
      </c>
      <c r="F140" s="14" t="s">
        <v>39</v>
      </c>
      <c r="G140" s="14" t="s">
        <v>60</v>
      </c>
      <c r="H140" s="42" t="s">
        <v>173</v>
      </c>
      <c r="I140" s="43"/>
    </row>
    <row r="141" spans="1:9" x14ac:dyDescent="0.25">
      <c r="A141" s="30"/>
      <c r="B141" s="31"/>
      <c r="C141" s="32"/>
      <c r="D141" s="32"/>
      <c r="E141" s="32"/>
      <c r="F141" s="32"/>
      <c r="G141" s="48"/>
      <c r="H141" s="48"/>
      <c r="I141" s="33"/>
    </row>
    <row r="142" spans="1:9" x14ac:dyDescent="0.25">
      <c r="A142" s="4" t="s">
        <v>174</v>
      </c>
      <c r="B142" s="14" t="s">
        <v>16</v>
      </c>
      <c r="C142" s="14">
        <v>1</v>
      </c>
      <c r="D142" s="14">
        <v>115</v>
      </c>
      <c r="E142" s="14">
        <v>1</v>
      </c>
      <c r="F142" s="14" t="s">
        <v>16</v>
      </c>
      <c r="G142" s="42" t="s">
        <v>54</v>
      </c>
      <c r="H142" s="42" t="s">
        <v>175</v>
      </c>
      <c r="I142" s="43" t="s">
        <v>176</v>
      </c>
    </row>
    <row r="143" spans="1:9" x14ac:dyDescent="0.25">
      <c r="A143" s="44"/>
      <c r="B143" s="14" t="s">
        <v>24</v>
      </c>
      <c r="C143" s="14">
        <v>1</v>
      </c>
      <c r="D143" s="14">
        <v>64</v>
      </c>
      <c r="E143" s="14">
        <v>3</v>
      </c>
      <c r="F143" s="14" t="s">
        <v>26</v>
      </c>
      <c r="G143" s="14" t="s">
        <v>107</v>
      </c>
      <c r="H143" s="42" t="s">
        <v>177</v>
      </c>
      <c r="I143" s="43"/>
    </row>
    <row r="144" spans="1:9" x14ac:dyDescent="0.25">
      <c r="A144" s="44"/>
      <c r="B144" s="14" t="s">
        <v>27</v>
      </c>
      <c r="C144" s="14">
        <v>1</v>
      </c>
      <c r="D144" s="14">
        <v>41</v>
      </c>
      <c r="E144" s="14">
        <v>1</v>
      </c>
      <c r="F144" s="14" t="s">
        <v>32</v>
      </c>
      <c r="G144" s="14" t="s">
        <v>54</v>
      </c>
      <c r="H144" s="42" t="s">
        <v>178</v>
      </c>
      <c r="I144" s="43"/>
    </row>
    <row r="145" spans="1:9" x14ac:dyDescent="0.25">
      <c r="A145" s="44"/>
      <c r="B145" s="14" t="s">
        <v>34</v>
      </c>
      <c r="C145" s="14">
        <v>1</v>
      </c>
      <c r="D145" s="14">
        <v>22</v>
      </c>
      <c r="E145" s="14">
        <v>1</v>
      </c>
      <c r="F145" s="14" t="s">
        <v>35</v>
      </c>
      <c r="G145" s="14"/>
      <c r="H145" s="15"/>
      <c r="I145" s="43"/>
    </row>
    <row r="146" spans="1:9" x14ac:dyDescent="0.25">
      <c r="A146" s="44"/>
      <c r="B146" s="14" t="s">
        <v>36</v>
      </c>
      <c r="C146" s="14">
        <v>1</v>
      </c>
      <c r="D146" s="14">
        <v>74</v>
      </c>
      <c r="E146" s="14">
        <v>4</v>
      </c>
      <c r="F146" s="14" t="s">
        <v>35</v>
      </c>
      <c r="G146" s="15"/>
      <c r="H146" s="15"/>
      <c r="I146" s="43"/>
    </row>
    <row r="147" spans="1:9" x14ac:dyDescent="0.25">
      <c r="A147" s="44"/>
      <c r="B147" s="14" t="s">
        <v>39</v>
      </c>
      <c r="C147" s="14">
        <v>1</v>
      </c>
      <c r="D147" s="14">
        <v>51</v>
      </c>
      <c r="E147" s="14">
        <v>5</v>
      </c>
      <c r="F147" s="14" t="s">
        <v>35</v>
      </c>
      <c r="G147" s="15"/>
      <c r="H147" s="15"/>
      <c r="I147" s="43"/>
    </row>
    <row r="148" spans="1:9" x14ac:dyDescent="0.25">
      <c r="A148" s="30"/>
      <c r="B148" s="31"/>
      <c r="C148" s="32"/>
      <c r="D148" s="32"/>
      <c r="E148" s="32"/>
      <c r="F148" s="32"/>
      <c r="G148" s="41"/>
      <c r="H148" s="41"/>
      <c r="I148" s="33"/>
    </row>
    <row r="149" spans="1:9" x14ac:dyDescent="0.25">
      <c r="A149" s="4" t="s">
        <v>179</v>
      </c>
      <c r="B149" s="14" t="s">
        <v>17</v>
      </c>
      <c r="C149" s="14">
        <v>1</v>
      </c>
      <c r="D149" s="14">
        <v>45</v>
      </c>
      <c r="E149" s="14">
        <v>1</v>
      </c>
      <c r="F149" s="14" t="s">
        <v>35</v>
      </c>
      <c r="G149" s="15"/>
      <c r="H149" s="15"/>
      <c r="I149" s="43" t="s">
        <v>180</v>
      </c>
    </row>
    <row r="150" spans="1:9" x14ac:dyDescent="0.25">
      <c r="A150" s="44"/>
      <c r="B150" s="14" t="s">
        <v>26</v>
      </c>
      <c r="C150" s="14">
        <v>2</v>
      </c>
      <c r="D150" s="14">
        <v>150</v>
      </c>
      <c r="E150" s="14">
        <v>4</v>
      </c>
      <c r="F150" s="14" t="s">
        <v>35</v>
      </c>
      <c r="G150" s="15"/>
      <c r="H150" s="15"/>
      <c r="I150" s="43"/>
    </row>
    <row r="151" spans="1:9" x14ac:dyDescent="0.25">
      <c r="A151" s="44"/>
      <c r="B151" s="14" t="s">
        <v>32</v>
      </c>
      <c r="C151" s="14">
        <v>1</v>
      </c>
      <c r="D151" s="14">
        <v>30</v>
      </c>
      <c r="E151" s="14">
        <v>2</v>
      </c>
      <c r="F151" s="14" t="s">
        <v>35</v>
      </c>
      <c r="G151" s="15"/>
      <c r="H151" s="15"/>
      <c r="I151" s="43"/>
    </row>
    <row r="152" spans="1:9" x14ac:dyDescent="0.25">
      <c r="A152" s="44"/>
      <c r="B152" s="14" t="s">
        <v>42</v>
      </c>
      <c r="C152" s="14">
        <v>1</v>
      </c>
      <c r="D152" s="14">
        <v>14</v>
      </c>
      <c r="E152" s="14">
        <v>1</v>
      </c>
      <c r="F152" s="14" t="s">
        <v>34</v>
      </c>
      <c r="G152" s="14" t="s">
        <v>107</v>
      </c>
      <c r="H152" s="42" t="s">
        <v>181</v>
      </c>
      <c r="I152" s="43"/>
    </row>
    <row r="153" spans="1:9" x14ac:dyDescent="0.25">
      <c r="A153" s="44"/>
      <c r="B153" s="14" t="s">
        <v>44</v>
      </c>
      <c r="C153" s="14">
        <v>2</v>
      </c>
      <c r="D153" s="14">
        <v>99</v>
      </c>
      <c r="E153" s="14">
        <v>3</v>
      </c>
      <c r="F153" s="14" t="s">
        <v>36</v>
      </c>
      <c r="G153" s="14" t="s">
        <v>54</v>
      </c>
      <c r="H153" s="42" t="s">
        <v>182</v>
      </c>
      <c r="I153" s="43"/>
    </row>
    <row r="154" spans="1:9" x14ac:dyDescent="0.25">
      <c r="A154" s="44"/>
      <c r="B154" s="14" t="s">
        <v>45</v>
      </c>
      <c r="C154" s="14">
        <v>1</v>
      </c>
      <c r="D154" s="14">
        <v>18</v>
      </c>
      <c r="E154" s="14">
        <v>1</v>
      </c>
      <c r="F154" s="14" t="s">
        <v>45</v>
      </c>
      <c r="G154" s="14" t="s">
        <v>60</v>
      </c>
      <c r="H154" s="42" t="s">
        <v>183</v>
      </c>
      <c r="I154" s="43"/>
    </row>
    <row r="155" spans="1:9" x14ac:dyDescent="0.25">
      <c r="A155" s="30"/>
      <c r="B155" s="31"/>
      <c r="C155" s="32"/>
      <c r="D155" s="32"/>
      <c r="E155" s="32"/>
      <c r="F155" s="32"/>
      <c r="G155" s="48"/>
      <c r="H155" s="48"/>
      <c r="I155" s="33"/>
    </row>
    <row r="156" spans="1:9" x14ac:dyDescent="0.25">
      <c r="A156" s="4" t="s">
        <v>184</v>
      </c>
      <c r="B156" s="14" t="s">
        <v>16</v>
      </c>
      <c r="C156" s="14">
        <v>1</v>
      </c>
      <c r="D156" s="14">
        <v>97</v>
      </c>
      <c r="E156" s="14">
        <v>4</v>
      </c>
      <c r="F156" s="14" t="s">
        <v>17</v>
      </c>
      <c r="G156" s="42" t="s">
        <v>107</v>
      </c>
      <c r="H156" s="42" t="s">
        <v>185</v>
      </c>
      <c r="I156" s="43" t="s">
        <v>186</v>
      </c>
    </row>
    <row r="157" spans="1:9" x14ac:dyDescent="0.25">
      <c r="A157" s="44"/>
      <c r="B157" s="14" t="s">
        <v>24</v>
      </c>
      <c r="C157" s="14">
        <v>1</v>
      </c>
      <c r="D157" s="14">
        <v>112</v>
      </c>
      <c r="E157" s="14">
        <v>2</v>
      </c>
      <c r="F157" s="14" t="s">
        <v>24</v>
      </c>
      <c r="G157" s="14" t="s">
        <v>60</v>
      </c>
      <c r="H157" s="42" t="s">
        <v>187</v>
      </c>
      <c r="I157" s="43"/>
    </row>
    <row r="158" spans="1:9" x14ac:dyDescent="0.25">
      <c r="A158" s="44"/>
      <c r="B158" s="14" t="s">
        <v>27</v>
      </c>
      <c r="C158" s="14">
        <v>1</v>
      </c>
      <c r="D158" s="14">
        <v>56</v>
      </c>
      <c r="E158" s="14">
        <v>1</v>
      </c>
      <c r="F158" s="14" t="s">
        <v>27</v>
      </c>
      <c r="G158" s="14" t="s">
        <v>107</v>
      </c>
      <c r="H158" s="42" t="s">
        <v>188</v>
      </c>
      <c r="I158" s="43"/>
    </row>
    <row r="159" spans="1:9" x14ac:dyDescent="0.25">
      <c r="A159" s="44"/>
      <c r="B159" s="14" t="s">
        <v>34</v>
      </c>
      <c r="C159" s="14">
        <v>1</v>
      </c>
      <c r="D159" s="14">
        <v>41</v>
      </c>
      <c r="E159" s="14">
        <v>2</v>
      </c>
      <c r="F159" s="14" t="s">
        <v>35</v>
      </c>
      <c r="G159" s="14"/>
      <c r="H159" s="15"/>
      <c r="I159" s="43"/>
    </row>
    <row r="160" spans="1:9" x14ac:dyDescent="0.25">
      <c r="A160" s="44"/>
      <c r="B160" s="14" t="s">
        <v>36</v>
      </c>
      <c r="C160" s="14">
        <v>1</v>
      </c>
      <c r="D160" s="14">
        <v>97</v>
      </c>
      <c r="E160" s="14">
        <v>4</v>
      </c>
      <c r="F160" s="14" t="s">
        <v>35</v>
      </c>
      <c r="G160" s="15"/>
      <c r="H160" s="15"/>
      <c r="I160" s="43"/>
    </row>
    <row r="161" spans="1:9" x14ac:dyDescent="0.25">
      <c r="A161" s="44"/>
      <c r="B161" s="14" t="s">
        <v>39</v>
      </c>
      <c r="C161" s="14">
        <v>1</v>
      </c>
      <c r="D161" s="14">
        <v>64</v>
      </c>
      <c r="E161" s="14">
        <v>4</v>
      </c>
      <c r="F161" s="14" t="s">
        <v>35</v>
      </c>
      <c r="G161" s="15"/>
      <c r="H161" s="15"/>
      <c r="I161" s="43"/>
    </row>
    <row r="162" spans="1:9" x14ac:dyDescent="0.25">
      <c r="A162" s="30"/>
      <c r="B162" s="31"/>
      <c r="C162" s="32"/>
      <c r="D162" s="32"/>
      <c r="E162" s="32"/>
      <c r="F162" s="32"/>
      <c r="G162" s="41"/>
      <c r="H162" s="41"/>
      <c r="I162" s="33"/>
    </row>
    <row r="163" spans="1:9" x14ac:dyDescent="0.25">
      <c r="A163" s="4" t="s">
        <v>192</v>
      </c>
      <c r="B163" s="14" t="s">
        <v>17</v>
      </c>
      <c r="C163" s="14">
        <v>1</v>
      </c>
      <c r="D163" s="14">
        <v>91</v>
      </c>
      <c r="E163" s="14">
        <v>1</v>
      </c>
      <c r="F163" s="14" t="s">
        <v>35</v>
      </c>
      <c r="G163" s="15"/>
      <c r="H163" s="15"/>
      <c r="I163" s="43" t="s">
        <v>199</v>
      </c>
    </row>
    <row r="164" spans="1:9" x14ac:dyDescent="0.25">
      <c r="A164" s="44"/>
      <c r="B164" s="14" t="s">
        <v>26</v>
      </c>
      <c r="C164" s="14">
        <v>1</v>
      </c>
      <c r="D164" s="14">
        <v>143</v>
      </c>
      <c r="E164" s="14">
        <v>1</v>
      </c>
      <c r="F164" s="14" t="s">
        <v>35</v>
      </c>
      <c r="G164" s="15"/>
      <c r="H164" s="15"/>
      <c r="I164" s="43"/>
    </row>
    <row r="165" spans="1:9" x14ac:dyDescent="0.25">
      <c r="A165" s="44"/>
      <c r="B165" s="14" t="s">
        <v>32</v>
      </c>
      <c r="C165" s="14">
        <v>1</v>
      </c>
      <c r="D165" s="14">
        <v>55</v>
      </c>
      <c r="E165" s="14">
        <v>1</v>
      </c>
      <c r="F165" s="14" t="s">
        <v>35</v>
      </c>
      <c r="G165" s="15"/>
      <c r="H165" s="15"/>
      <c r="I165" s="43"/>
    </row>
    <row r="166" spans="1:9" x14ac:dyDescent="0.25">
      <c r="A166" s="44"/>
      <c r="B166" s="14" t="s">
        <v>42</v>
      </c>
      <c r="C166" s="14">
        <v>1</v>
      </c>
      <c r="D166" s="14">
        <v>49</v>
      </c>
      <c r="E166" s="14">
        <v>3</v>
      </c>
      <c r="F166" s="14" t="s">
        <v>34</v>
      </c>
      <c r="G166" s="14" t="s">
        <v>107</v>
      </c>
      <c r="H166" s="42" t="s">
        <v>204</v>
      </c>
      <c r="I166" s="43"/>
    </row>
    <row r="167" spans="1:9" x14ac:dyDescent="0.25">
      <c r="A167" s="44"/>
      <c r="B167" s="14" t="s">
        <v>44</v>
      </c>
      <c r="C167" s="14">
        <v>2</v>
      </c>
      <c r="D167" s="14">
        <v>348</v>
      </c>
      <c r="E167" s="14">
        <v>3</v>
      </c>
      <c r="F167" s="14" t="s">
        <v>36</v>
      </c>
      <c r="G167" s="14" t="s">
        <v>107</v>
      </c>
      <c r="H167" s="42" t="s">
        <v>204</v>
      </c>
      <c r="I167" s="43"/>
    </row>
    <row r="168" spans="1:9" x14ac:dyDescent="0.25">
      <c r="A168" s="44"/>
      <c r="B168" s="14" t="s">
        <v>45</v>
      </c>
      <c r="C168" s="14">
        <v>1</v>
      </c>
      <c r="D168" s="14">
        <v>196</v>
      </c>
      <c r="E168" s="14">
        <v>4</v>
      </c>
      <c r="F168" s="14" t="s">
        <v>39</v>
      </c>
      <c r="G168" s="14" t="s">
        <v>107</v>
      </c>
      <c r="H168" s="42" t="s">
        <v>204</v>
      </c>
      <c r="I168" s="43"/>
    </row>
    <row r="169" spans="1:9" x14ac:dyDescent="0.25">
      <c r="A169" s="30"/>
      <c r="B169" s="31"/>
      <c r="C169" s="32"/>
      <c r="D169" s="32"/>
      <c r="E169" s="32"/>
      <c r="F169" s="32"/>
      <c r="G169" s="48"/>
      <c r="H169" s="48"/>
      <c r="I169" s="33"/>
    </row>
    <row r="170" spans="1:9" x14ac:dyDescent="0.25">
      <c r="A170" s="4" t="s">
        <v>214</v>
      </c>
      <c r="B170" s="14" t="s">
        <v>16</v>
      </c>
      <c r="C170" s="14">
        <v>2</v>
      </c>
      <c r="D170" s="14">
        <v>248</v>
      </c>
      <c r="E170" s="14">
        <v>4</v>
      </c>
      <c r="F170" s="14" t="s">
        <v>17</v>
      </c>
      <c r="G170" s="42" t="s">
        <v>60</v>
      </c>
      <c r="H170" s="42" t="s">
        <v>216</v>
      </c>
      <c r="I170" s="43" t="s">
        <v>218</v>
      </c>
    </row>
    <row r="171" spans="1:9" x14ac:dyDescent="0.25">
      <c r="A171" s="44"/>
      <c r="B171" s="14" t="s">
        <v>24</v>
      </c>
      <c r="C171" s="14">
        <v>4</v>
      </c>
      <c r="D171" s="14">
        <v>180</v>
      </c>
      <c r="E171" s="14">
        <v>3</v>
      </c>
      <c r="F171" s="14" t="s">
        <v>26</v>
      </c>
      <c r="G171" s="14" t="s">
        <v>54</v>
      </c>
      <c r="H171" s="42" t="s">
        <v>221</v>
      </c>
      <c r="I171" s="43"/>
    </row>
    <row r="172" spans="1:9" x14ac:dyDescent="0.25">
      <c r="A172" s="44"/>
      <c r="B172" s="14" t="s">
        <v>27</v>
      </c>
      <c r="C172" s="14">
        <v>1</v>
      </c>
      <c r="D172" s="14">
        <v>33</v>
      </c>
      <c r="E172" s="14">
        <v>1</v>
      </c>
      <c r="F172" s="14" t="s">
        <v>27</v>
      </c>
      <c r="G172" s="14" t="s">
        <v>107</v>
      </c>
      <c r="H172" s="42" t="s">
        <v>222</v>
      </c>
      <c r="I172" s="43"/>
    </row>
    <row r="173" spans="1:9" x14ac:dyDescent="0.25">
      <c r="A173" s="44"/>
      <c r="B173" s="14" t="s">
        <v>34</v>
      </c>
      <c r="C173" s="14">
        <v>1</v>
      </c>
      <c r="D173" s="14">
        <v>34</v>
      </c>
      <c r="E173" s="14">
        <v>1</v>
      </c>
      <c r="F173" s="14" t="s">
        <v>35</v>
      </c>
      <c r="G173" s="14"/>
      <c r="H173" s="15"/>
      <c r="I173" s="43"/>
    </row>
    <row r="174" spans="1:9" x14ac:dyDescent="0.25">
      <c r="A174" s="44"/>
      <c r="B174" s="14" t="s">
        <v>36</v>
      </c>
      <c r="C174" s="14">
        <v>4</v>
      </c>
      <c r="D174" s="14">
        <v>258</v>
      </c>
      <c r="E174" s="14">
        <v>3</v>
      </c>
      <c r="F174" s="14" t="s">
        <v>35</v>
      </c>
      <c r="G174" s="15"/>
      <c r="H174" s="15"/>
      <c r="I174" s="43"/>
    </row>
    <row r="175" spans="1:9" x14ac:dyDescent="0.25">
      <c r="A175" s="44"/>
      <c r="B175" s="14" t="s">
        <v>39</v>
      </c>
      <c r="C175" s="14">
        <v>1</v>
      </c>
      <c r="D175" s="14">
        <v>44</v>
      </c>
      <c r="E175" s="14">
        <v>1</v>
      </c>
      <c r="F175" s="14" t="s">
        <v>35</v>
      </c>
      <c r="G175" s="15"/>
      <c r="H175" s="15"/>
      <c r="I175" s="43"/>
    </row>
    <row r="176" spans="1:9" x14ac:dyDescent="0.25">
      <c r="A176" s="30"/>
      <c r="B176" s="31"/>
      <c r="C176" s="32"/>
      <c r="D176" s="32"/>
      <c r="E176" s="32"/>
      <c r="F176" s="32"/>
      <c r="G176" s="41"/>
      <c r="H176" s="41"/>
      <c r="I176" s="33"/>
    </row>
    <row r="177" spans="1:9" x14ac:dyDescent="0.25">
      <c r="A177" s="4" t="s">
        <v>231</v>
      </c>
      <c r="B177" s="14" t="s">
        <v>17</v>
      </c>
      <c r="C177" s="14">
        <v>1</v>
      </c>
      <c r="D177" s="14">
        <v>71</v>
      </c>
      <c r="E177" s="14">
        <v>2</v>
      </c>
      <c r="F177" s="14" t="s">
        <v>35</v>
      </c>
      <c r="G177" s="15"/>
      <c r="H177" s="15"/>
      <c r="I177" s="43" t="s">
        <v>235</v>
      </c>
    </row>
    <row r="178" spans="1:9" x14ac:dyDescent="0.25">
      <c r="A178" s="44"/>
      <c r="B178" s="14" t="s">
        <v>26</v>
      </c>
      <c r="C178" s="14">
        <v>1</v>
      </c>
      <c r="D178" s="14">
        <v>55</v>
      </c>
      <c r="E178" s="14">
        <v>3</v>
      </c>
      <c r="F178" s="14" t="s">
        <v>35</v>
      </c>
      <c r="G178" s="15"/>
      <c r="H178" s="15"/>
      <c r="I178" s="43"/>
    </row>
    <row r="179" spans="1:9" x14ac:dyDescent="0.25">
      <c r="A179" s="44"/>
      <c r="B179" s="14" t="s">
        <v>32</v>
      </c>
      <c r="C179" s="14">
        <v>1</v>
      </c>
      <c r="D179" s="14">
        <v>74</v>
      </c>
      <c r="E179" s="14">
        <v>1</v>
      </c>
      <c r="F179" s="14" t="s">
        <v>35</v>
      </c>
      <c r="G179" s="15"/>
      <c r="H179" s="15"/>
      <c r="I179" s="43"/>
    </row>
    <row r="180" spans="1:9" x14ac:dyDescent="0.25">
      <c r="A180" s="44"/>
      <c r="B180" s="14" t="s">
        <v>42</v>
      </c>
      <c r="C180" s="14">
        <v>1</v>
      </c>
      <c r="D180" s="14">
        <v>52</v>
      </c>
      <c r="E180" s="14">
        <v>1</v>
      </c>
      <c r="F180" s="14" t="s">
        <v>34</v>
      </c>
      <c r="G180" s="14" t="s">
        <v>107</v>
      </c>
      <c r="H180" s="42" t="s">
        <v>204</v>
      </c>
      <c r="I180" s="43"/>
    </row>
    <row r="181" spans="1:9" x14ac:dyDescent="0.25">
      <c r="A181" s="44"/>
      <c r="B181" s="14" t="s">
        <v>44</v>
      </c>
      <c r="C181" s="14">
        <v>2</v>
      </c>
      <c r="D181" s="14">
        <v>144</v>
      </c>
      <c r="E181" s="14">
        <v>4</v>
      </c>
      <c r="F181" s="14" t="s">
        <v>36</v>
      </c>
      <c r="G181" s="14" t="s">
        <v>107</v>
      </c>
      <c r="H181" s="42" t="s">
        <v>204</v>
      </c>
      <c r="I181" s="43"/>
    </row>
    <row r="182" spans="1:9" x14ac:dyDescent="0.25">
      <c r="A182" s="44"/>
      <c r="B182" s="14" t="s">
        <v>45</v>
      </c>
      <c r="C182" s="14">
        <v>1</v>
      </c>
      <c r="D182" s="14">
        <v>51</v>
      </c>
      <c r="E182" s="14">
        <v>1</v>
      </c>
      <c r="F182" s="14" t="s">
        <v>45</v>
      </c>
      <c r="G182" s="14" t="s">
        <v>54</v>
      </c>
      <c r="H182" s="42" t="s">
        <v>249</v>
      </c>
      <c r="I182" s="43"/>
    </row>
    <row r="183" spans="1:9" x14ac:dyDescent="0.25">
      <c r="A183" s="30"/>
      <c r="B183" s="31"/>
      <c r="C183" s="32"/>
      <c r="D183" s="32"/>
      <c r="E183" s="32"/>
      <c r="F183" s="32"/>
      <c r="G183" s="48"/>
      <c r="H183" s="48"/>
      <c r="I183" s="33"/>
    </row>
    <row r="184" spans="1:9" x14ac:dyDescent="0.25">
      <c r="A184" s="4" t="s">
        <v>252</v>
      </c>
      <c r="B184" s="14" t="s">
        <v>16</v>
      </c>
      <c r="C184" s="14">
        <v>1</v>
      </c>
      <c r="D184" s="14">
        <v>81</v>
      </c>
      <c r="E184" s="14">
        <v>2</v>
      </c>
      <c r="F184" s="14" t="s">
        <v>17</v>
      </c>
      <c r="G184" s="14" t="s">
        <v>54</v>
      </c>
      <c r="H184" s="42" t="s">
        <v>253</v>
      </c>
      <c r="I184" s="43" t="s">
        <v>254</v>
      </c>
    </row>
    <row r="185" spans="1:9" x14ac:dyDescent="0.25">
      <c r="A185" s="44"/>
      <c r="B185" s="14" t="s">
        <v>24</v>
      </c>
      <c r="C185" s="14">
        <v>2</v>
      </c>
      <c r="D185" s="14">
        <v>141</v>
      </c>
      <c r="E185" s="14">
        <v>3</v>
      </c>
      <c r="F185" s="14" t="s">
        <v>24</v>
      </c>
      <c r="G185" s="14" t="s">
        <v>54</v>
      </c>
      <c r="H185" s="42" t="s">
        <v>255</v>
      </c>
      <c r="I185" s="43"/>
    </row>
    <row r="186" spans="1:9" x14ac:dyDescent="0.25">
      <c r="A186" s="44"/>
      <c r="B186" s="14" t="s">
        <v>27</v>
      </c>
      <c r="C186" s="14">
        <v>1</v>
      </c>
      <c r="D186" s="14">
        <v>21</v>
      </c>
      <c r="E186" s="14">
        <v>1</v>
      </c>
      <c r="F186" s="14" t="s">
        <v>27</v>
      </c>
      <c r="G186" s="14" t="s">
        <v>54</v>
      </c>
      <c r="H186" s="42" t="s">
        <v>255</v>
      </c>
      <c r="I186" s="43"/>
    </row>
    <row r="187" spans="1:9" x14ac:dyDescent="0.25">
      <c r="A187" s="44"/>
      <c r="B187" s="14" t="s">
        <v>34</v>
      </c>
      <c r="C187" s="14">
        <v>1</v>
      </c>
      <c r="D187" s="14">
        <v>17</v>
      </c>
      <c r="E187" s="14">
        <v>1</v>
      </c>
      <c r="F187" s="14" t="s">
        <v>35</v>
      </c>
      <c r="G187" s="14"/>
      <c r="H187" s="15"/>
      <c r="I187" s="43"/>
    </row>
    <row r="188" spans="1:9" x14ac:dyDescent="0.25">
      <c r="A188" s="44"/>
      <c r="B188" s="14" t="s">
        <v>36</v>
      </c>
      <c r="C188" s="14">
        <v>1</v>
      </c>
      <c r="D188" s="14">
        <v>57</v>
      </c>
      <c r="E188" s="14">
        <v>2</v>
      </c>
      <c r="F188" s="14" t="s">
        <v>35</v>
      </c>
      <c r="G188" s="15"/>
      <c r="H188" s="15"/>
      <c r="I188" s="43"/>
    </row>
    <row r="189" spans="1:9" x14ac:dyDescent="0.25">
      <c r="A189" s="44"/>
      <c r="B189" s="14" t="s">
        <v>39</v>
      </c>
      <c r="C189" s="14">
        <v>1</v>
      </c>
      <c r="D189" s="14">
        <v>13</v>
      </c>
      <c r="E189" s="14">
        <v>1</v>
      </c>
      <c r="F189" s="14" t="s">
        <v>35</v>
      </c>
      <c r="G189" s="15"/>
      <c r="H189" s="15"/>
      <c r="I189" s="43"/>
    </row>
    <row r="190" spans="1:9" x14ac:dyDescent="0.25">
      <c r="A190" s="30"/>
      <c r="B190" s="31"/>
      <c r="C190" s="32"/>
      <c r="D190" s="32"/>
      <c r="E190" s="32"/>
      <c r="F190" s="32"/>
      <c r="G190" s="41"/>
      <c r="H190" s="41"/>
      <c r="I190" s="33"/>
    </row>
    <row r="191" spans="1:9" x14ac:dyDescent="0.25">
      <c r="A191" s="4" t="s">
        <v>256</v>
      </c>
      <c r="B191" s="14" t="s">
        <v>17</v>
      </c>
      <c r="C191" s="14">
        <v>1</v>
      </c>
      <c r="D191" s="14">
        <v>104</v>
      </c>
      <c r="E191" s="14">
        <v>1</v>
      </c>
      <c r="F191" s="14" t="s">
        <v>35</v>
      </c>
      <c r="G191" s="15"/>
      <c r="H191" s="15"/>
      <c r="I191" s="43" t="s">
        <v>257</v>
      </c>
    </row>
    <row r="192" spans="1:9" x14ac:dyDescent="0.25">
      <c r="A192" s="44"/>
      <c r="B192" s="14" t="s">
        <v>26</v>
      </c>
      <c r="C192" s="14">
        <v>2</v>
      </c>
      <c r="D192" s="14">
        <v>89</v>
      </c>
      <c r="E192" s="14">
        <v>3</v>
      </c>
      <c r="F192" s="14" t="s">
        <v>35</v>
      </c>
      <c r="G192" s="15"/>
      <c r="H192" s="15"/>
      <c r="I192" s="43"/>
    </row>
    <row r="193" spans="1:9" x14ac:dyDescent="0.25">
      <c r="A193" s="44"/>
      <c r="B193" s="14" t="s">
        <v>32</v>
      </c>
      <c r="C193" s="14">
        <v>1</v>
      </c>
      <c r="D193" s="14">
        <v>48</v>
      </c>
      <c r="E193" s="14">
        <v>4</v>
      </c>
      <c r="F193" s="14" t="s">
        <v>35</v>
      </c>
      <c r="G193" s="15"/>
      <c r="H193" s="15"/>
      <c r="I193" s="43"/>
    </row>
    <row r="194" spans="1:9" x14ac:dyDescent="0.25">
      <c r="A194" s="44"/>
      <c r="B194" s="14" t="s">
        <v>42</v>
      </c>
      <c r="C194" s="14">
        <v>1</v>
      </c>
      <c r="D194" s="14">
        <v>77</v>
      </c>
      <c r="E194" s="14">
        <v>2</v>
      </c>
      <c r="F194" s="14" t="s">
        <v>34</v>
      </c>
      <c r="G194" s="14" t="s">
        <v>107</v>
      </c>
      <c r="H194" s="42" t="s">
        <v>258</v>
      </c>
      <c r="I194" s="43"/>
    </row>
    <row r="195" spans="1:9" x14ac:dyDescent="0.25">
      <c r="A195" s="44"/>
      <c r="B195" s="14" t="s">
        <v>44</v>
      </c>
      <c r="C195" s="14">
        <v>2</v>
      </c>
      <c r="D195" s="14">
        <v>124</v>
      </c>
      <c r="E195" s="14">
        <v>4</v>
      </c>
      <c r="F195" s="14" t="s">
        <v>44</v>
      </c>
      <c r="G195" s="14" t="s">
        <v>107</v>
      </c>
      <c r="H195" s="42" t="s">
        <v>259</v>
      </c>
      <c r="I195" s="43"/>
    </row>
    <row r="196" spans="1:9" x14ac:dyDescent="0.25">
      <c r="A196" s="44"/>
      <c r="B196" s="14" t="s">
        <v>45</v>
      </c>
      <c r="C196" s="14">
        <v>1</v>
      </c>
      <c r="D196" s="14">
        <v>71</v>
      </c>
      <c r="E196" s="14">
        <v>3</v>
      </c>
      <c r="F196" s="14" t="s">
        <v>45</v>
      </c>
      <c r="G196" s="14" t="s">
        <v>54</v>
      </c>
      <c r="H196" s="42" t="s">
        <v>259</v>
      </c>
      <c r="I196" s="43"/>
    </row>
    <row r="197" spans="1:9" x14ac:dyDescent="0.25">
      <c r="A197" s="30"/>
      <c r="B197" s="31"/>
      <c r="C197" s="32"/>
      <c r="D197" s="32"/>
      <c r="E197" s="32"/>
      <c r="F197" s="32"/>
      <c r="G197" s="48"/>
      <c r="H197" s="48"/>
      <c r="I197" s="33"/>
    </row>
    <row r="198" spans="1:9" x14ac:dyDescent="0.25">
      <c r="A198" s="4" t="s">
        <v>260</v>
      </c>
      <c r="B198" s="14" t="s">
        <v>16</v>
      </c>
      <c r="C198" s="14">
        <v>4</v>
      </c>
      <c r="D198" s="14">
        <v>126</v>
      </c>
      <c r="E198" s="14">
        <v>4</v>
      </c>
      <c r="F198" s="14" t="s">
        <v>17</v>
      </c>
      <c r="G198" s="14" t="s">
        <v>54</v>
      </c>
      <c r="H198" s="42" t="s">
        <v>261</v>
      </c>
      <c r="I198" s="43" t="s">
        <v>262</v>
      </c>
    </row>
    <row r="199" spans="1:9" x14ac:dyDescent="0.25">
      <c r="A199" s="44"/>
      <c r="B199" s="14" t="s">
        <v>24</v>
      </c>
      <c r="C199" s="14">
        <v>4</v>
      </c>
      <c r="D199" s="14">
        <v>80</v>
      </c>
      <c r="E199" s="14">
        <v>3</v>
      </c>
      <c r="F199" s="14" t="s">
        <v>26</v>
      </c>
      <c r="G199" s="14" t="s">
        <v>54</v>
      </c>
      <c r="H199" s="42" t="s">
        <v>261</v>
      </c>
      <c r="I199" s="43"/>
    </row>
    <row r="200" spans="1:9" x14ac:dyDescent="0.25">
      <c r="A200" s="44"/>
      <c r="B200" s="14" t="s">
        <v>27</v>
      </c>
      <c r="C200" s="14">
        <v>1</v>
      </c>
      <c r="D200" s="14">
        <v>57</v>
      </c>
      <c r="E200" s="14">
        <v>3</v>
      </c>
      <c r="F200" s="14" t="s">
        <v>32</v>
      </c>
      <c r="G200" s="14" t="s">
        <v>54</v>
      </c>
      <c r="H200" s="42" t="s">
        <v>261</v>
      </c>
      <c r="I200" s="43"/>
    </row>
    <row r="201" spans="1:9" x14ac:dyDescent="0.25">
      <c r="A201" s="44"/>
      <c r="B201" s="14" t="s">
        <v>34</v>
      </c>
      <c r="C201" s="14">
        <v>2</v>
      </c>
      <c r="D201" s="14">
        <v>66</v>
      </c>
      <c r="E201" s="14">
        <v>2</v>
      </c>
      <c r="F201" s="14" t="s">
        <v>35</v>
      </c>
      <c r="G201" s="14"/>
      <c r="H201" s="15"/>
      <c r="I201" s="43"/>
    </row>
    <row r="202" spans="1:9" x14ac:dyDescent="0.25">
      <c r="A202" s="44"/>
      <c r="B202" s="14" t="s">
        <v>36</v>
      </c>
      <c r="C202" s="14">
        <v>2</v>
      </c>
      <c r="D202" s="14">
        <v>85</v>
      </c>
      <c r="E202" s="14">
        <v>3</v>
      </c>
      <c r="F202" s="14" t="s">
        <v>35</v>
      </c>
      <c r="G202" s="15"/>
      <c r="H202" s="15"/>
      <c r="I202" s="43"/>
    </row>
    <row r="203" spans="1:9" x14ac:dyDescent="0.25">
      <c r="A203" s="44"/>
      <c r="B203" s="14" t="s">
        <v>39</v>
      </c>
      <c r="C203" s="14">
        <v>1</v>
      </c>
      <c r="D203" s="14">
        <v>52</v>
      </c>
      <c r="E203" s="14">
        <v>1</v>
      </c>
      <c r="F203" s="14" t="s">
        <v>35</v>
      </c>
      <c r="G203" s="15"/>
      <c r="H203" s="15"/>
      <c r="I203" s="43"/>
    </row>
    <row r="204" spans="1:9" x14ac:dyDescent="0.25">
      <c r="A204" s="30"/>
      <c r="B204" s="31"/>
      <c r="C204" s="32"/>
      <c r="D204" s="32"/>
      <c r="E204" s="32"/>
      <c r="F204" s="32"/>
      <c r="G204" s="41"/>
      <c r="H204" s="41"/>
      <c r="I204" s="33"/>
    </row>
    <row r="205" spans="1:9" x14ac:dyDescent="0.25">
      <c r="A205" s="4" t="s">
        <v>263</v>
      </c>
      <c r="B205" s="14" t="s">
        <v>17</v>
      </c>
      <c r="C205" s="14">
        <v>1</v>
      </c>
      <c r="D205" s="14">
        <v>41</v>
      </c>
      <c r="E205" s="14">
        <v>2</v>
      </c>
      <c r="F205" s="14" t="s">
        <v>35</v>
      </c>
      <c r="G205" s="15"/>
      <c r="H205" s="15"/>
      <c r="I205" s="43" t="s">
        <v>265</v>
      </c>
    </row>
    <row r="206" spans="1:9" x14ac:dyDescent="0.25">
      <c r="A206" s="44"/>
      <c r="B206" s="14" t="s">
        <v>26</v>
      </c>
      <c r="C206" s="14">
        <v>1</v>
      </c>
      <c r="D206" s="14">
        <v>65</v>
      </c>
      <c r="E206" s="14">
        <v>3</v>
      </c>
      <c r="F206" s="14" t="s">
        <v>35</v>
      </c>
      <c r="G206" s="15"/>
      <c r="H206" s="15"/>
      <c r="I206" s="43"/>
    </row>
    <row r="207" spans="1:9" x14ac:dyDescent="0.25">
      <c r="A207" s="44"/>
      <c r="B207" s="14" t="s">
        <v>32</v>
      </c>
      <c r="C207" s="14">
        <v>1</v>
      </c>
      <c r="D207" s="14">
        <v>69</v>
      </c>
      <c r="E207" s="14">
        <v>3</v>
      </c>
      <c r="F207" s="14" t="s">
        <v>35</v>
      </c>
      <c r="G207" s="15"/>
      <c r="H207" s="15"/>
      <c r="I207" s="43"/>
    </row>
    <row r="208" spans="1:9" x14ac:dyDescent="0.25">
      <c r="A208" s="44"/>
      <c r="B208" s="14" t="s">
        <v>42</v>
      </c>
      <c r="C208" s="14">
        <v>1</v>
      </c>
      <c r="D208" s="14">
        <v>71</v>
      </c>
      <c r="E208" s="14">
        <v>2</v>
      </c>
      <c r="F208" s="14" t="s">
        <v>42</v>
      </c>
      <c r="G208" s="14" t="s">
        <v>54</v>
      </c>
      <c r="H208" s="42" t="s">
        <v>272</v>
      </c>
      <c r="I208" s="43"/>
    </row>
    <row r="209" spans="1:9" x14ac:dyDescent="0.25">
      <c r="A209" s="44"/>
      <c r="B209" s="14" t="s">
        <v>44</v>
      </c>
      <c r="C209" s="14">
        <v>1</v>
      </c>
      <c r="D209" s="14">
        <v>58</v>
      </c>
      <c r="E209" s="14">
        <v>1</v>
      </c>
      <c r="F209" s="14" t="s">
        <v>44</v>
      </c>
      <c r="G209" s="14" t="s">
        <v>54</v>
      </c>
      <c r="H209" s="42" t="s">
        <v>272</v>
      </c>
      <c r="I209" s="43"/>
    </row>
    <row r="210" spans="1:9" x14ac:dyDescent="0.25">
      <c r="A210" s="44"/>
      <c r="B210" s="14" t="s">
        <v>45</v>
      </c>
      <c r="C210" s="14">
        <v>1</v>
      </c>
      <c r="D210" s="14">
        <v>28</v>
      </c>
      <c r="E210" s="14">
        <v>1</v>
      </c>
      <c r="F210" s="14" t="s">
        <v>45</v>
      </c>
      <c r="G210" s="14" t="s">
        <v>54</v>
      </c>
      <c r="H210" s="42" t="s">
        <v>272</v>
      </c>
      <c r="I210" s="43"/>
    </row>
    <row r="211" spans="1:9" x14ac:dyDescent="0.25">
      <c r="A211" s="30"/>
      <c r="B211" s="31"/>
      <c r="C211" s="32"/>
      <c r="D211" s="32"/>
      <c r="E211" s="32"/>
      <c r="F211" s="32"/>
      <c r="G211" s="48"/>
      <c r="H211" s="48"/>
      <c r="I211" s="33"/>
    </row>
    <row r="212" spans="1:9" x14ac:dyDescent="0.25">
      <c r="A212" s="4" t="s">
        <v>273</v>
      </c>
      <c r="B212" s="14" t="s">
        <v>16</v>
      </c>
      <c r="C212" s="14">
        <v>1</v>
      </c>
      <c r="D212" s="14">
        <v>128</v>
      </c>
      <c r="E212" s="14">
        <v>2</v>
      </c>
      <c r="F212" s="14" t="s">
        <v>17</v>
      </c>
      <c r="G212" s="14" t="s">
        <v>54</v>
      </c>
      <c r="H212" s="42" t="s">
        <v>274</v>
      </c>
      <c r="I212" s="43" t="s">
        <v>275</v>
      </c>
    </row>
    <row r="213" spans="1:9" x14ac:dyDescent="0.25">
      <c r="A213" s="44"/>
      <c r="B213" s="14" t="s">
        <v>24</v>
      </c>
      <c r="C213" s="14">
        <v>1</v>
      </c>
      <c r="D213" s="14">
        <v>142</v>
      </c>
      <c r="E213" s="14">
        <v>1</v>
      </c>
      <c r="F213" s="14" t="s">
        <v>26</v>
      </c>
      <c r="G213" s="14" t="s">
        <v>60</v>
      </c>
      <c r="H213" s="42" t="s">
        <v>276</v>
      </c>
      <c r="I213" s="43"/>
    </row>
    <row r="214" spans="1:9" x14ac:dyDescent="0.25">
      <c r="A214" s="44"/>
      <c r="B214" s="14" t="s">
        <v>27</v>
      </c>
      <c r="C214" s="14">
        <v>1</v>
      </c>
      <c r="D214" s="14">
        <v>37</v>
      </c>
      <c r="E214" s="14">
        <v>2</v>
      </c>
      <c r="F214" s="14" t="s">
        <v>27</v>
      </c>
      <c r="G214" s="14" t="s">
        <v>60</v>
      </c>
      <c r="H214" s="42" t="s">
        <v>276</v>
      </c>
      <c r="I214" s="43"/>
    </row>
    <row r="215" spans="1:9" x14ac:dyDescent="0.25">
      <c r="A215" s="44"/>
      <c r="B215" s="14" t="s">
        <v>34</v>
      </c>
      <c r="C215" s="14">
        <v>1</v>
      </c>
      <c r="D215" s="14">
        <v>170</v>
      </c>
      <c r="E215" s="14">
        <v>2</v>
      </c>
      <c r="F215" s="14" t="s">
        <v>35</v>
      </c>
      <c r="G215" s="14"/>
      <c r="H215" s="14"/>
      <c r="I215" s="43"/>
    </row>
    <row r="216" spans="1:9" x14ac:dyDescent="0.25">
      <c r="A216" s="44"/>
      <c r="B216" s="14" t="s">
        <v>36</v>
      </c>
      <c r="C216" s="14">
        <v>2</v>
      </c>
      <c r="D216" s="14">
        <v>207</v>
      </c>
      <c r="E216" s="14">
        <v>3</v>
      </c>
      <c r="F216" s="14" t="s">
        <v>35</v>
      </c>
      <c r="G216" s="15"/>
      <c r="H216" s="15"/>
      <c r="I216" s="43"/>
    </row>
    <row r="217" spans="1:9" x14ac:dyDescent="0.25">
      <c r="A217" s="44"/>
      <c r="B217" s="14" t="s">
        <v>39</v>
      </c>
      <c r="C217" s="14">
        <v>1</v>
      </c>
      <c r="D217" s="14">
        <v>186</v>
      </c>
      <c r="E217" s="14">
        <v>3</v>
      </c>
      <c r="F217" s="14" t="s">
        <v>35</v>
      </c>
      <c r="G217" s="15"/>
      <c r="H217" s="15"/>
      <c r="I217" s="43"/>
    </row>
    <row r="218" spans="1:9" x14ac:dyDescent="0.25">
      <c r="A218" s="30"/>
      <c r="B218" s="31"/>
      <c r="C218" s="32"/>
      <c r="D218" s="32"/>
      <c r="E218" s="32"/>
      <c r="F218" s="32"/>
      <c r="G218" s="48"/>
      <c r="H218" s="48"/>
      <c r="I218" s="33"/>
    </row>
    <row r="219" spans="1:9" x14ac:dyDescent="0.25">
      <c r="A219" s="4" t="s">
        <v>277</v>
      </c>
      <c r="B219" s="14" t="s">
        <v>17</v>
      </c>
      <c r="C219" s="14">
        <v>1</v>
      </c>
      <c r="D219" s="14">
        <v>127</v>
      </c>
      <c r="E219" s="14">
        <v>1</v>
      </c>
      <c r="F219" s="14" t="s">
        <v>35</v>
      </c>
      <c r="G219" s="15"/>
      <c r="H219" s="15"/>
      <c r="I219" s="43" t="s">
        <v>278</v>
      </c>
    </row>
    <row r="220" spans="1:9" x14ac:dyDescent="0.25">
      <c r="A220" s="44"/>
      <c r="B220" s="14" t="s">
        <v>26</v>
      </c>
      <c r="C220" s="14">
        <v>1</v>
      </c>
      <c r="D220" s="14">
        <v>52</v>
      </c>
      <c r="E220" s="14">
        <v>1</v>
      </c>
      <c r="F220" s="14" t="s">
        <v>35</v>
      </c>
      <c r="G220" s="15"/>
      <c r="H220" s="15"/>
      <c r="I220" s="43"/>
    </row>
    <row r="221" spans="1:9" x14ac:dyDescent="0.25">
      <c r="A221" s="44"/>
      <c r="B221" s="14" t="s">
        <v>32</v>
      </c>
      <c r="C221" s="14">
        <v>1</v>
      </c>
      <c r="D221" s="14">
        <v>48</v>
      </c>
      <c r="E221" s="14">
        <v>1</v>
      </c>
      <c r="F221" s="14" t="s">
        <v>35</v>
      </c>
      <c r="G221" s="15"/>
      <c r="H221" s="15"/>
      <c r="I221" s="43"/>
    </row>
    <row r="222" spans="1:9" x14ac:dyDescent="0.25">
      <c r="A222" s="44"/>
      <c r="B222" s="14" t="s">
        <v>42</v>
      </c>
      <c r="C222" s="14">
        <v>1</v>
      </c>
      <c r="D222" s="14">
        <v>38</v>
      </c>
      <c r="E222" s="14">
        <v>3</v>
      </c>
      <c r="F222" s="14" t="s">
        <v>34</v>
      </c>
      <c r="G222" s="14" t="s">
        <v>60</v>
      </c>
      <c r="H222" s="42" t="s">
        <v>287</v>
      </c>
      <c r="I222" s="43"/>
    </row>
    <row r="223" spans="1:9" x14ac:dyDescent="0.25">
      <c r="A223" s="44"/>
      <c r="B223" s="14" t="s">
        <v>44</v>
      </c>
      <c r="C223" s="14">
        <v>2</v>
      </c>
      <c r="D223" s="14">
        <v>153</v>
      </c>
      <c r="E223" s="14">
        <v>5</v>
      </c>
      <c r="F223" s="14" t="s">
        <v>44</v>
      </c>
      <c r="G223" s="14" t="s">
        <v>54</v>
      </c>
      <c r="H223" s="42" t="s">
        <v>272</v>
      </c>
      <c r="I223" s="43"/>
    </row>
    <row r="224" spans="1:9" x14ac:dyDescent="0.25">
      <c r="A224" s="44"/>
      <c r="B224" s="14" t="s">
        <v>45</v>
      </c>
      <c r="C224" s="14">
        <v>1</v>
      </c>
      <c r="D224" s="14">
        <v>120</v>
      </c>
      <c r="E224" s="14">
        <v>2</v>
      </c>
      <c r="F224" s="14" t="s">
        <v>39</v>
      </c>
      <c r="G224" s="14" t="s">
        <v>54</v>
      </c>
      <c r="H224" s="42" t="s">
        <v>288</v>
      </c>
      <c r="I224" s="43"/>
    </row>
  </sheetData>
  <mergeCells count="2">
    <mergeCell ref="I2:I7"/>
    <mergeCell ref="I9:I14"/>
  </mergeCells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4"/>
  <sheetViews>
    <sheetView workbookViewId="0"/>
  </sheetViews>
  <sheetFormatPr defaultColWidth="12.6640625" defaultRowHeight="15.75" customHeight="1" x14ac:dyDescent="0.25"/>
  <cols>
    <col min="1" max="1" width="19.44140625" customWidth="1"/>
    <col min="2" max="4" width="15.33203125" customWidth="1"/>
  </cols>
  <sheetData>
    <row r="1" spans="1:4" x14ac:dyDescent="0.25">
      <c r="B1" s="52" t="s">
        <v>162</v>
      </c>
      <c r="C1" s="52" t="s">
        <v>163</v>
      </c>
      <c r="D1" s="52" t="s">
        <v>164</v>
      </c>
    </row>
    <row r="2" spans="1:4" x14ac:dyDescent="0.25">
      <c r="A2" s="53" t="s">
        <v>165</v>
      </c>
      <c r="B2" s="54"/>
    </row>
    <row r="3" spans="1:4" x14ac:dyDescent="0.25">
      <c r="A3" s="53" t="s">
        <v>167</v>
      </c>
      <c r="C3" s="54"/>
    </row>
    <row r="4" spans="1:4" x14ac:dyDescent="0.25">
      <c r="A4" s="53" t="s">
        <v>168</v>
      </c>
      <c r="D4" s="54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34"/>
  <sheetViews>
    <sheetView workbookViewId="0"/>
  </sheetViews>
  <sheetFormatPr defaultColWidth="12.6640625" defaultRowHeight="15.75" customHeight="1" x14ac:dyDescent="0.25"/>
  <cols>
    <col min="1" max="1" width="14.77734375" customWidth="1"/>
  </cols>
  <sheetData>
    <row r="1" spans="1:7" x14ac:dyDescent="0.25">
      <c r="A1" s="57" t="s">
        <v>189</v>
      </c>
      <c r="B1" s="57" t="s">
        <v>190</v>
      </c>
      <c r="C1" s="57" t="s">
        <v>191</v>
      </c>
      <c r="E1" s="58" t="s">
        <v>190</v>
      </c>
      <c r="F1" s="58" t="s">
        <v>193</v>
      </c>
      <c r="G1" s="58" t="s">
        <v>194</v>
      </c>
    </row>
    <row r="2" spans="1:7" x14ac:dyDescent="0.25">
      <c r="A2" s="35" t="s">
        <v>195</v>
      </c>
      <c r="B2" s="35" t="s">
        <v>196</v>
      </c>
      <c r="C2" s="35" t="s">
        <v>197</v>
      </c>
      <c r="E2" s="35" t="s">
        <v>198</v>
      </c>
      <c r="F2" s="27">
        <f t="shared" ref="F2:F9" si="0">(COUNTIF($B$2:$B$34,E2))</f>
        <v>1</v>
      </c>
      <c r="G2" s="59">
        <f t="shared" ref="G2:G11" si="1">F2/$F$11</f>
        <v>3.0303030303030304E-2</v>
      </c>
    </row>
    <row r="3" spans="1:7" x14ac:dyDescent="0.25">
      <c r="A3" s="35" t="s">
        <v>200</v>
      </c>
      <c r="B3" s="35" t="s">
        <v>201</v>
      </c>
      <c r="C3" s="35" t="s">
        <v>202</v>
      </c>
      <c r="E3" s="35" t="s">
        <v>203</v>
      </c>
      <c r="F3" s="27">
        <f t="shared" si="0"/>
        <v>1</v>
      </c>
      <c r="G3" s="59">
        <f t="shared" si="1"/>
        <v>3.0303030303030304E-2</v>
      </c>
    </row>
    <row r="4" spans="1:7" x14ac:dyDescent="0.25">
      <c r="A4" s="35" t="s">
        <v>205</v>
      </c>
      <c r="B4" s="35" t="s">
        <v>201</v>
      </c>
      <c r="C4" s="35" t="s">
        <v>197</v>
      </c>
      <c r="E4" s="35" t="s">
        <v>206</v>
      </c>
      <c r="F4" s="27">
        <f t="shared" si="0"/>
        <v>0</v>
      </c>
      <c r="G4" s="59">
        <f t="shared" si="1"/>
        <v>0</v>
      </c>
    </row>
    <row r="5" spans="1:7" x14ac:dyDescent="0.25">
      <c r="A5" s="35" t="s">
        <v>207</v>
      </c>
      <c r="B5" s="35" t="s">
        <v>208</v>
      </c>
      <c r="C5" s="35" t="s">
        <v>202</v>
      </c>
      <c r="E5" s="35" t="s">
        <v>209</v>
      </c>
      <c r="F5" s="27">
        <f t="shared" si="0"/>
        <v>0</v>
      </c>
      <c r="G5" s="59">
        <f t="shared" si="1"/>
        <v>0</v>
      </c>
    </row>
    <row r="6" spans="1:7" x14ac:dyDescent="0.25">
      <c r="A6" s="35" t="s">
        <v>210</v>
      </c>
      <c r="B6" s="35" t="s">
        <v>201</v>
      </c>
      <c r="C6" s="35" t="s">
        <v>197</v>
      </c>
      <c r="E6" s="35" t="s">
        <v>211</v>
      </c>
      <c r="F6" s="27">
        <f t="shared" si="0"/>
        <v>0</v>
      </c>
      <c r="G6" s="59">
        <f t="shared" si="1"/>
        <v>0</v>
      </c>
    </row>
    <row r="7" spans="1:7" x14ac:dyDescent="0.25">
      <c r="A7" s="35" t="s">
        <v>212</v>
      </c>
      <c r="B7" s="35" t="s">
        <v>201</v>
      </c>
      <c r="C7" s="35" t="s">
        <v>202</v>
      </c>
      <c r="E7" s="35" t="s">
        <v>196</v>
      </c>
      <c r="F7" s="27">
        <f t="shared" si="0"/>
        <v>6</v>
      </c>
      <c r="G7" s="59">
        <f t="shared" si="1"/>
        <v>0.18181818181818182</v>
      </c>
    </row>
    <row r="8" spans="1:7" x14ac:dyDescent="0.25">
      <c r="A8" s="35" t="s">
        <v>213</v>
      </c>
      <c r="B8" s="35" t="s">
        <v>201</v>
      </c>
      <c r="C8" s="35" t="s">
        <v>197</v>
      </c>
      <c r="E8" s="35" t="s">
        <v>201</v>
      </c>
      <c r="F8" s="27">
        <f t="shared" si="0"/>
        <v>18</v>
      </c>
      <c r="G8" s="59">
        <f t="shared" si="1"/>
        <v>0.54545454545454541</v>
      </c>
    </row>
    <row r="9" spans="1:7" x14ac:dyDescent="0.25">
      <c r="A9" s="35" t="s">
        <v>215</v>
      </c>
      <c r="B9" s="35" t="s">
        <v>201</v>
      </c>
      <c r="C9" s="35" t="s">
        <v>202</v>
      </c>
      <c r="E9" s="35" t="s">
        <v>217</v>
      </c>
      <c r="F9" s="27">
        <f t="shared" si="0"/>
        <v>0</v>
      </c>
      <c r="G9" s="59">
        <f t="shared" si="1"/>
        <v>0</v>
      </c>
    </row>
    <row r="10" spans="1:7" x14ac:dyDescent="0.25">
      <c r="A10" s="35" t="s">
        <v>219</v>
      </c>
      <c r="B10" s="35" t="s">
        <v>201</v>
      </c>
      <c r="C10" s="35" t="s">
        <v>197</v>
      </c>
      <c r="E10" s="35" t="s">
        <v>220</v>
      </c>
      <c r="F10" s="27">
        <f>COUNTIF(B:B,"?")+COUNTIF(B:B,"concluinte")</f>
        <v>7</v>
      </c>
      <c r="G10" s="59">
        <f t="shared" si="1"/>
        <v>0.21212121212121213</v>
      </c>
    </row>
    <row r="11" spans="1:7" x14ac:dyDescent="0.25">
      <c r="A11" s="35" t="s">
        <v>223</v>
      </c>
      <c r="B11" s="35" t="s">
        <v>201</v>
      </c>
      <c r="C11" s="35" t="s">
        <v>202</v>
      </c>
      <c r="E11" s="60" t="s">
        <v>224</v>
      </c>
      <c r="F11" s="61">
        <f>(SUM(F2:F10))</f>
        <v>33</v>
      </c>
      <c r="G11" s="62">
        <f t="shared" si="1"/>
        <v>1</v>
      </c>
    </row>
    <row r="12" spans="1:7" x14ac:dyDescent="0.25">
      <c r="A12" s="35" t="s">
        <v>225</v>
      </c>
      <c r="B12" s="35" t="s">
        <v>196</v>
      </c>
      <c r="C12" s="35" t="s">
        <v>197</v>
      </c>
    </row>
    <row r="13" spans="1:7" x14ac:dyDescent="0.25">
      <c r="A13" s="35" t="s">
        <v>226</v>
      </c>
      <c r="B13" s="35" t="s">
        <v>196</v>
      </c>
      <c r="C13" s="35" t="s">
        <v>202</v>
      </c>
    </row>
    <row r="14" spans="1:7" x14ac:dyDescent="0.25">
      <c r="A14" s="35" t="s">
        <v>227</v>
      </c>
      <c r="B14" s="35" t="s">
        <v>201</v>
      </c>
      <c r="C14" s="35" t="s">
        <v>197</v>
      </c>
    </row>
    <row r="15" spans="1:7" x14ac:dyDescent="0.25">
      <c r="A15" s="35" t="s">
        <v>228</v>
      </c>
      <c r="B15" s="35" t="s">
        <v>196</v>
      </c>
      <c r="C15" s="35" t="s">
        <v>202</v>
      </c>
    </row>
    <row r="16" spans="1:7" x14ac:dyDescent="0.25">
      <c r="A16" s="35" t="s">
        <v>229</v>
      </c>
      <c r="B16" s="35" t="s">
        <v>208</v>
      </c>
      <c r="C16" s="35" t="s">
        <v>197</v>
      </c>
    </row>
    <row r="17" spans="1:3" x14ac:dyDescent="0.25">
      <c r="A17" s="35" t="s">
        <v>230</v>
      </c>
      <c r="B17" s="35" t="s">
        <v>201</v>
      </c>
      <c r="C17" s="35" t="s">
        <v>202</v>
      </c>
    </row>
    <row r="18" spans="1:3" x14ac:dyDescent="0.25">
      <c r="A18" s="35" t="s">
        <v>232</v>
      </c>
      <c r="B18" s="35" t="s">
        <v>201</v>
      </c>
      <c r="C18" s="35" t="s">
        <v>197</v>
      </c>
    </row>
    <row r="19" spans="1:3" x14ac:dyDescent="0.25">
      <c r="A19" s="35" t="s">
        <v>233</v>
      </c>
      <c r="B19" s="35" t="s">
        <v>201</v>
      </c>
      <c r="C19" s="35" t="s">
        <v>202</v>
      </c>
    </row>
    <row r="20" spans="1:3" x14ac:dyDescent="0.25">
      <c r="A20" s="35" t="s">
        <v>234</v>
      </c>
      <c r="B20" s="35" t="s">
        <v>201</v>
      </c>
      <c r="C20" s="35" t="s">
        <v>197</v>
      </c>
    </row>
    <row r="21" spans="1:3" x14ac:dyDescent="0.25">
      <c r="A21" s="35" t="s">
        <v>236</v>
      </c>
      <c r="B21" s="35" t="s">
        <v>237</v>
      </c>
      <c r="C21" s="35" t="s">
        <v>202</v>
      </c>
    </row>
    <row r="22" spans="1:3" x14ac:dyDescent="0.25">
      <c r="A22" s="35" t="s">
        <v>238</v>
      </c>
      <c r="B22" s="35" t="s">
        <v>208</v>
      </c>
      <c r="C22" s="35" t="s">
        <v>197</v>
      </c>
    </row>
    <row r="23" spans="1:3" x14ac:dyDescent="0.25">
      <c r="A23" s="35" t="s">
        <v>239</v>
      </c>
      <c r="B23" s="35" t="s">
        <v>208</v>
      </c>
      <c r="C23" s="35" t="s">
        <v>202</v>
      </c>
    </row>
    <row r="24" spans="1:3" x14ac:dyDescent="0.25">
      <c r="A24" s="35" t="s">
        <v>240</v>
      </c>
      <c r="B24" s="35" t="s">
        <v>196</v>
      </c>
      <c r="C24" s="35" t="s">
        <v>197</v>
      </c>
    </row>
    <row r="25" spans="1:3" x14ac:dyDescent="0.25">
      <c r="A25" s="35" t="s">
        <v>241</v>
      </c>
      <c r="B25" s="35" t="s">
        <v>208</v>
      </c>
      <c r="C25" s="35" t="s">
        <v>202</v>
      </c>
    </row>
    <row r="26" spans="1:3" x14ac:dyDescent="0.25">
      <c r="A26" s="35" t="s">
        <v>242</v>
      </c>
      <c r="B26" s="35" t="s">
        <v>198</v>
      </c>
      <c r="C26" s="35" t="s">
        <v>197</v>
      </c>
    </row>
    <row r="27" spans="1:3" x14ac:dyDescent="0.25">
      <c r="A27" s="35" t="s">
        <v>243</v>
      </c>
      <c r="B27" s="35" t="s">
        <v>201</v>
      </c>
      <c r="C27" s="35" t="s">
        <v>202</v>
      </c>
    </row>
    <row r="28" spans="1:3" x14ac:dyDescent="0.25">
      <c r="A28" s="35" t="s">
        <v>244</v>
      </c>
      <c r="B28" s="35" t="s">
        <v>203</v>
      </c>
      <c r="C28" s="35" t="s">
        <v>197</v>
      </c>
    </row>
    <row r="29" spans="1:3" x14ac:dyDescent="0.25">
      <c r="A29" s="35" t="s">
        <v>245</v>
      </c>
      <c r="B29" s="35" t="s">
        <v>201</v>
      </c>
      <c r="C29" s="35" t="s">
        <v>202</v>
      </c>
    </row>
    <row r="30" spans="1:3" x14ac:dyDescent="0.25">
      <c r="A30" s="35" t="s">
        <v>246</v>
      </c>
      <c r="B30" s="35" t="s">
        <v>196</v>
      </c>
      <c r="C30" s="35" t="s">
        <v>197</v>
      </c>
    </row>
    <row r="31" spans="1:3" x14ac:dyDescent="0.25">
      <c r="A31" s="35" t="s">
        <v>247</v>
      </c>
      <c r="B31" s="35" t="s">
        <v>201</v>
      </c>
      <c r="C31" s="35" t="s">
        <v>202</v>
      </c>
    </row>
    <row r="32" spans="1:3" x14ac:dyDescent="0.25">
      <c r="A32" s="35" t="s">
        <v>248</v>
      </c>
      <c r="B32" s="35" t="s">
        <v>201</v>
      </c>
      <c r="C32" s="35" t="s">
        <v>197</v>
      </c>
    </row>
    <row r="33" spans="1:3" x14ac:dyDescent="0.25">
      <c r="A33" s="35" t="s">
        <v>250</v>
      </c>
      <c r="B33" s="35" t="s">
        <v>208</v>
      </c>
      <c r="C33" s="35" t="s">
        <v>202</v>
      </c>
    </row>
    <row r="34" spans="1:3" x14ac:dyDescent="0.25">
      <c r="A34" s="35" t="s">
        <v>251</v>
      </c>
      <c r="B34" s="35" t="s">
        <v>201</v>
      </c>
      <c r="C34" s="35" t="s">
        <v>197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7"/>
  <sheetViews>
    <sheetView workbookViewId="0"/>
  </sheetViews>
  <sheetFormatPr defaultColWidth="12.6640625" defaultRowHeight="15.75" customHeight="1" x14ac:dyDescent="0.25"/>
  <cols>
    <col min="1" max="1" width="135.33203125" customWidth="1"/>
  </cols>
  <sheetData>
    <row r="1" spans="1:1" x14ac:dyDescent="0.25">
      <c r="A1" s="63" t="s">
        <v>264</v>
      </c>
    </row>
    <row r="2" spans="1:1" x14ac:dyDescent="0.25">
      <c r="A2" s="63" t="s">
        <v>266</v>
      </c>
    </row>
    <row r="3" spans="1:1" x14ac:dyDescent="0.25">
      <c r="A3" s="63" t="s">
        <v>267</v>
      </c>
    </row>
    <row r="4" spans="1:1" x14ac:dyDescent="0.25">
      <c r="A4" s="63" t="s">
        <v>268</v>
      </c>
    </row>
    <row r="5" spans="1:1" x14ac:dyDescent="0.25">
      <c r="A5" s="63" t="s">
        <v>269</v>
      </c>
    </row>
    <row r="6" spans="1:1" x14ac:dyDescent="0.25">
      <c r="A6" s="63" t="s">
        <v>270</v>
      </c>
    </row>
    <row r="7" spans="1:1" x14ac:dyDescent="0.25">
      <c r="A7" s="63" t="s">
        <v>271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3"/>
  <sheetViews>
    <sheetView workbookViewId="0"/>
  </sheetViews>
  <sheetFormatPr defaultColWidth="12.6640625" defaultRowHeight="15.75" customHeight="1" x14ac:dyDescent="0.25"/>
  <cols>
    <col min="1" max="1" width="13.44140625" customWidth="1"/>
    <col min="2" max="2" width="16.44140625" customWidth="1"/>
    <col min="3" max="3" width="14.44140625" customWidth="1"/>
  </cols>
  <sheetData>
    <row r="1" spans="1:3" x14ac:dyDescent="0.25">
      <c r="A1" s="64" t="s">
        <v>279</v>
      </c>
      <c r="B1" s="64" t="s">
        <v>280</v>
      </c>
      <c r="C1" s="64" t="s">
        <v>71</v>
      </c>
    </row>
    <row r="2" spans="1:3" x14ac:dyDescent="0.25">
      <c r="A2" s="65" t="s">
        <v>281</v>
      </c>
      <c r="B2" s="65" t="s">
        <v>282</v>
      </c>
      <c r="C2" s="65" t="s">
        <v>283</v>
      </c>
    </row>
    <row r="3" spans="1:3" x14ac:dyDescent="0.25">
      <c r="A3" s="65" t="s">
        <v>284</v>
      </c>
      <c r="B3" s="65" t="s">
        <v>285</v>
      </c>
      <c r="C3" s="65" t="s">
        <v>286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graficos</vt:lpstr>
      <vt:lpstr>estatisticas</vt:lpstr>
      <vt:lpstr>base dados</vt:lpstr>
      <vt:lpstr>dados</vt:lpstr>
      <vt:lpstr>planejamento</vt:lpstr>
      <vt:lpstr>participantes</vt:lpstr>
      <vt:lpstr>perguntas</vt:lpstr>
      <vt:lpstr>métricas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candeia</cp:lastModifiedBy>
  <dcterms:modified xsi:type="dcterms:W3CDTF">2026-08-13T19:05:55Z</dcterms:modified>
</cp:coreProperties>
</file>